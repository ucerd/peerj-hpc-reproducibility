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4095a5640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ab043812278490b"/>
    <x:sheet xmlns:r="http://schemas.openxmlformats.org/officeDocument/2006/relationships" name="01_Source_Inventory" sheetId="2" r:id="Rfaddb5d91283433b"/>
    <x:sheet xmlns:r="http://schemas.openxmlformats.org/officeDocument/2006/relationships" name="02_Source_Eligibility" sheetId="3" r:id="R5206d96fce264737"/>
    <x:sheet xmlns:r="http://schemas.openxmlformats.org/officeDocument/2006/relationships" name="03_Requirement_Extraction" sheetId="4" r:id="Rf1ca55e0b9e3455e"/>
    <x:sheet xmlns:r="http://schemas.openxmlformats.org/officeDocument/2006/relationships" name="04_Conformance_Matrix" sheetId="5" r:id="Ra23b6ce1630e4c62"/>
    <x:sheet xmlns:r="http://schemas.openxmlformats.org/officeDocument/2006/relationships" name="05_Sizing_Assumptions" sheetId="6" r:id="Rb4a7bf24e3524b22"/>
    <x:sheet xmlns:r="http://schemas.openxmlformats.org/officeDocument/2006/relationships" name="06_Institutional_Profiles" sheetId="7" r:id="Racb979486ad14336"/>
    <x:sheet xmlns:r="http://schemas.openxmlformats.org/officeDocument/2006/relationships" name="07_Table2_Calculations" sheetId="8" r:id="R78413cf17a6642c8"/>
    <x:sheet xmlns:r="http://schemas.openxmlformats.org/officeDocument/2006/relationships" name="08_Illustrative_Scenario" sheetId="9" r:id="R50ff83d7220a4618"/>
    <x:sheet xmlns:r="http://schemas.openxmlformats.org/officeDocument/2006/relationships" name="09_Rounding_Rules" sheetId="10" r:id="R03979daca3ba451d"/>
    <x:sheet xmlns:r="http://schemas.openxmlformats.org/officeDocument/2006/relationships" name="10_Data_Dictionary" sheetId="11" r:id="R89971c5fe2b343c6"/>
    <x:sheet xmlns:r="http://schemas.openxmlformats.org/officeDocument/2006/relationships" name="11_Implementation_Checklist" sheetId="12" r:id="R16c8630590fa4413"/>
    <x:sheet xmlns:r="http://schemas.openxmlformats.org/officeDocument/2006/relationships" name="12_KPI_Definitions" sheetId="13" r:id="R94d8b53f1b10429e"/>
    <x:sheet xmlns:r="http://schemas.openxmlformats.org/officeDocument/2006/relationships" name="13_Procurement_Template" sheetId="14" r:id="Rfaceeca2e79a4977"/>
    <x:sheet xmlns:r="http://schemas.openxmlformats.org/officeDocument/2006/relationships" name="14_Framework_Traceability" sheetId="15" r:id="R141b9640d4d24cba"/>
    <x:sheet xmlns:r="http://schemas.openxmlformats.org/officeDocument/2006/relationships" name="15_Namal_HPC_Context" sheetId="16" r:id="R2a888ae33d7b45b8"/>
    <x:sheet xmlns:r="http://schemas.openxmlformats.org/officeDocument/2006/relationships" name="16_Training_Source_Index" sheetId="17" r:id="Rb2956adc55c3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11827"/>
      <x:name val="Carlito"/>
    </x:font>
    <x:font>
      <x:b/>
      <x:sz val="11"/>
      <x:color rgb="FFFFFFFF"/>
      <x:name val="Carlito"/>
    </x:font>
    <x:font>
      <x:i/>
      <x:sz val="11"/>
      <x:color rgb="FF374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3895f2ca24839" /><Relationship Type="http://schemas.openxmlformats.org/officeDocument/2006/relationships/theme" Target="/xl/theme/theme1.xml" Id="R322b5111db3a4374" /><Relationship Type="http://schemas.openxmlformats.org/officeDocument/2006/relationships/sharedStrings" Target="/xl/sharedStrings.xml" Id="R97d61e18d28a426f" /><Relationship Type="http://schemas.openxmlformats.org/officeDocument/2006/relationships/worksheet" Target="/xl/worksheets/sheet1.xml" Id="Rbab043812278490b" /><Relationship Type="http://schemas.openxmlformats.org/officeDocument/2006/relationships/worksheet" Target="/xl/worksheets/sheet2.xml" Id="Rfaddb5d91283433b" /><Relationship Type="http://schemas.openxmlformats.org/officeDocument/2006/relationships/worksheet" Target="/xl/worksheets/sheet3.xml" Id="R5206d96fce264737" /><Relationship Type="http://schemas.openxmlformats.org/officeDocument/2006/relationships/worksheet" Target="/xl/worksheets/sheet4.xml" Id="Rf1ca55e0b9e3455e" /><Relationship Type="http://schemas.openxmlformats.org/officeDocument/2006/relationships/worksheet" Target="/xl/worksheets/sheet5.xml" Id="Ra23b6ce1630e4c62" /><Relationship Type="http://schemas.openxmlformats.org/officeDocument/2006/relationships/worksheet" Target="/xl/worksheets/sheet6.xml" Id="Rb4a7bf24e3524b22" /><Relationship Type="http://schemas.openxmlformats.org/officeDocument/2006/relationships/worksheet" Target="/xl/worksheets/sheet7.xml" Id="Racb979486ad14336" /><Relationship Type="http://schemas.openxmlformats.org/officeDocument/2006/relationships/worksheet" Target="/xl/worksheets/sheet8.xml" Id="R78413cf17a6642c8" /><Relationship Type="http://schemas.openxmlformats.org/officeDocument/2006/relationships/worksheet" Target="/xl/worksheets/sheet9.xml" Id="R50ff83d7220a4618" /><Relationship Type="http://schemas.openxmlformats.org/officeDocument/2006/relationships/worksheet" Target="/xl/worksheets/sheet10.xml" Id="R03979daca3ba451d" /><Relationship Type="http://schemas.openxmlformats.org/officeDocument/2006/relationships/worksheet" Target="/xl/worksheets/sheet11.xml" Id="R89971c5fe2b343c6" /><Relationship Type="http://schemas.openxmlformats.org/officeDocument/2006/relationships/worksheet" Target="/xl/worksheets/sheet12.xml" Id="R16c8630590fa4413" /><Relationship Type="http://schemas.openxmlformats.org/officeDocument/2006/relationships/worksheet" Target="/xl/worksheets/sheet13.xml" Id="R94d8b53f1b10429e" /><Relationship Type="http://schemas.openxmlformats.org/officeDocument/2006/relationships/worksheet" Target="/xl/worksheets/sheet14.xml" Id="Rfaceeca2e79a4977" /><Relationship Type="http://schemas.openxmlformats.org/officeDocument/2006/relationships/worksheet" Target="/xl/worksheets/sheet15.xml" Id="R141b9640d4d24cba" /><Relationship Type="http://schemas.openxmlformats.org/officeDocument/2006/relationships/worksheet" Target="/xl/worksheets/sheet16.xml" Id="R2a888ae33d7b45b8" /><Relationship Type="http://schemas.openxmlformats.org/officeDocument/2006/relationships/worksheet" Target="/xl/worksheets/sheet17.xml" Id="Rb2956adc55c34a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4" t="str">
        <x:v>Supplemental Data S1 — Raw Data and Reproducibility Workbook</x:v>
      </x:c>
      <x:c r="B1" s="4"/>
      <x:c r="C1" s="4"/>
      <x:c r="D1" s="4"/>
      <x:c r="E1" s="4"/>
      <x:c r="F1" s="4"/>
    </x:row>
    <x:row r="3">
      <x:c r="A3" s="12" t="str">
        <x:v>Field</x:v>
      </x:c>
      <x:c r="B3" s="12" t="str">
        <x:v>Description</x:v>
      </x:c>
    </x:row>
    <x:row r="4">
      <x:c r="A4" s="18" t="str">
        <x:v>Manuscript</x:v>
      </x:c>
      <x:c r="B4" s="18" t="str">
        <x:v>Implementing Supercomputing Infrastructure for Third-Generation Universities: A Design Framework for Education, Research, and Innovation</x:v>
      </x:c>
    </x:row>
    <x:row r="5">
      <x:c r="A5" s="18" t="str">
        <x:v>Purpose</x:v>
      </x:c>
      <x:c r="B5" s="18" t="str">
        <x:v>Documents the retained evidence base, source eligibility rationale, requirement extraction, conformance mapping, sizing assumptions, equations/rounding rules, and worked calculations.</x:v>
      </x:c>
    </x:row>
    <x:row r="6">
      <x:c r="A6" s="18" t="str">
        <x:v>Study type</x:v>
      </x:c>
      <x:c r="B6" s="18" t="str">
        <x:v>Design-science study with targeted, iterative evidence synthesis and scenario-based demonstration.</x:v>
      </x:c>
    </x:row>
    <x:row r="7">
      <x:c r="A7" s="18" t="str">
        <x:v>Evidence base</x:v>
      </x:c>
      <x:c r="B7" s="18" t="str">
        <x:v>35 cited scholarly and operational sources.</x:v>
      </x:c>
    </x:row>
    <x:row r="8">
      <x:c r="A8" s="18" t="str">
        <x:v>Important limitation</x:v>
      </x:c>
      <x:c r="B8" s="18" t="str">
        <x:v>The manuscript does not claim a systematic review or PRISMA-style candidate-source count. This workbook therefore documents the 35 retained sources; it does not fabricate a rejected-source log.</x:v>
      </x:c>
    </x:row>
    <x:row r="9">
      <x:c r="A9" s="18" t="str">
        <x:v>Data privacy</x:v>
      </x:c>
      <x:c r="B9" s="18" t="str">
        <x:v>No human-participant data or personally identifiable data are included.</x:v>
      </x:c>
    </x:row>
    <x:row r="10">
      <x:c r="A10" s="18" t="str">
        <x:v>Prior-case boundary</x:v>
      </x:c>
      <x:c r="B10" s="18" t="str">
        <x:v>The previously published institutional outcome dataset is not reproduced in this package.</x:v>
      </x:c>
    </x:row>
    <x:row r="11">
      <x:c r="A11" s="18" t="str">
        <x:v>Numerical reproducibility</x:v>
      </x:c>
      <x:c r="B11" s="18" t="str">
        <x:v>CPU/GPU node counts are formula-driven and reproduced from the manuscript assumptions. Storage equations are documented, but component-level D_* inputs are not reported for the worked profiles; storage recommendations are therefore preserved as reported text.</x:v>
      </x:c>
    </x:row>
    <x:row r="12">
      <x:c r="A12" s="18" t="str">
        <x:v>Repository code</x:v>
      </x:c>
      <x:c r="B12" s="18" t="str">
        <x:v>code/hpc_sizing.py and code/reproduce_results.py</x:v>
      </x:c>
    </x:row>
    <x:row r="14">
      <x:c r="A14" s="18" t="str">
        <x:v>Final release</x:v>
      </x:c>
      <x:c r="B14" s="18" t="str">
        <x:v>v1.0.0 — 20 September 2026</x:v>
      </x:c>
    </x:row>
    <x:row r="15">
      <x:c r="A15" s="18" t="str">
        <x:v>Namal HPC context</x:v>
      </x:c>
      <x:c r="B15" s="18" t="str">
        <x:v>20 nodes; 1,600 CPU cores; 40 NVIDIA RTX 4070 Ti GPUs; 5 TB aggregate RAM; low-latency switched fabric; Slurm. Context only, not sizing-validation data.</x:v>
      </x:c>
    </x:row>
    <x:row r="16">
      <x:c r="A16" s="18" t="str">
        <x:v>Implementation material</x:v>
      </x:c>
      <x:c r="B16" s="18" t="str">
        <x:v>Additional sheets provide implementation checklist, KPIs, procurement template, RQ traceability, Namal HPC context, and training-source traceability.</x:v>
      </x:c>
    </x:row>
    <x:row r="17">
      <x:c r="A17" s="18" t="str">
        <x:v>Slurm examples</x:v>
      </x:c>
      <x:c r="B17" s="18" t="str">
        <x:v>Publication-safe examples are provided separately in the repository; private addressing/hostnames/NIC mappings are excluded.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32" hidden="0" customWidth="1"/>
    <x:col min="5" max="5" width="10" hidden="0" customWidth="1"/>
    <x:col min="6" max="6" width="58" hidden="0" customWidth="1"/>
    <x:col min="7" max="7" width="58" hidden="0" customWidth="1"/>
    <x:col min="8" max="8" width="12" hidden="0" customWidth="1"/>
    <x:col min="9" max="9" width="65" hidden="0" customWidth="1"/>
    <x:col min="10" max="10" width="38" hidden="0" customWidth="1"/>
    <x:col min="11" max="11" width="34" hidden="0" customWidth="1"/>
  </x:cols>
  <x:sheetData>
    <x:row r="1" ht="28" customHeight="1">
      <x:c r="A1" s="4" t="str">
        <x:v>Retained Source Inventory (35 sources)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Source_ID</x:v>
      </x:c>
      <x:c r="B3" s="12" t="str">
        <x:v>Citation_Key</x:v>
      </x:c>
      <x:c r="C3" s="12" t="str">
        <x:v>Source_Class</x:v>
      </x:c>
      <x:c r="D3" s="12" t="str">
        <x:v>Author_or_Organization</x:v>
      </x:c>
      <x:c r="E3" s="12" t="str">
        <x:v>Year</x:v>
      </x:c>
      <x:c r="F3" s="12" t="str">
        <x:v>Title</x:v>
      </x:c>
      <x:c r="G3" s="12" t="str">
        <x:v>URL_or_DOI</x:v>
      </x:c>
      <x:c r="H3" s="12" t="str">
        <x:v>Eligibility</x:v>
      </x:c>
      <x:c r="I3" s="12" t="str">
        <x:v>Eligibility_Note</x:v>
      </x:c>
      <x:c r="J3" s="12" t="str">
        <x:v>Requirement_Categories</x:v>
      </x:c>
      <x:c r="K3" s="12" t="str">
        <x:v>Framework_Component</x:v>
      </x:c>
    </x:row>
    <x:row r="4">
      <x:c r="A4" s="20" t="str">
        <x:v>S01</x:v>
      </x:c>
      <x:c r="B4" s="20" t="str">
        <x:v>apptainersecurity2026</x:v>
      </x:c>
      <x:c r="C4" s="20" t="str">
        <x:v>Operational / technical guidance</x:v>
      </x:c>
      <x:c r="D4" s="20" t="str">
        <x:v>Apptainer Project</x:v>
      </x:c>
      <x:c r="E4" s="20" t="str">
        <x:v>2026a</x:v>
      </x:c>
      <x:c r="F4" s="20" t="str">
        <x:v>Security in Apptainer</x:v>
      </x:c>
      <x:c r="G4" s="20" t="str">
        <x:v>https://apptainer.org/user-docs/master/security.html</x:v>
      </x:c>
      <x:c r="H4" s="20" t="str">
        <x:v>Included</x:v>
      </x:c>
      <x:c r="I4" s="20" t="str">
        <x:v>Official platform-maintainer security guidance used for container security and user-context execution.</x:v>
      </x:c>
      <x:c r="J4" s="20" t="str">
        <x:v>reproducibility; identity and security</x:v>
      </x:c>
      <x:c r="K4" s="20" t="str">
        <x:v>System software &amp; resource management</x:v>
      </x:c>
    </x:row>
    <x:row r="5">
      <x:c r="A5" s="20" t="str">
        <x:v>S02</x:v>
      </x:c>
      <x:c r="B5" s="20" t="str">
        <x:v>apptainersign2026</x:v>
      </x:c>
      <x:c r="C5" s="20" t="str">
        <x:v>Operational / technical guidance</x:v>
      </x:c>
      <x:c r="D5" s="20" t="str">
        <x:v>Apptainer Project</x:v>
      </x:c>
      <x:c r="E5" s="20" t="str">
        <x:v>2026b</x:v>
      </x:c>
      <x:c r="F5" s="20" t="str">
        <x:v>Signing and Verifying Containers</x:v>
      </x:c>
      <x:c r="G5" s="20" t="str">
        <x:v>https://apptainer.org/docs/user/latest/signNverify.html</x:v>
      </x:c>
      <x:c r="H5" s="20" t="str">
        <x:v>Included</x:v>
      </x:c>
      <x:c r="I5" s="20" t="str">
        <x:v>Official platform-maintainer guidance used for image signing, verification, and integrity controls.</x:v>
      </x:c>
      <x:c r="J5" s="20" t="str">
        <x:v>reproducibility; identity and security</x:v>
      </x:c>
      <x:c r="K5" s="20" t="str">
        <x:v>System software &amp; resource management</x:v>
      </x:c>
    </x:row>
    <x:row r="6">
      <x:c r="A6" s="20" t="str">
        <x:v>S03</x:v>
      </x:c>
      <x:c r="B6" s="20" t="str">
        <x:v>apon2014assessing</x:v>
      </x:c>
      <x:c r="C6" s="20" t="str">
        <x:v>Scholarly</x:v>
      </x:c>
      <x:c r="D6" s="20" t="str">
        <x:v>Apon, A.; Ngo, L. B.; Payne, M. E.; Wilson, P. W.</x:v>
      </x:c>
      <x:c r="E6" s="20" t="str">
        <x:v>2015</x:v>
      </x:c>
      <x:c r="F6" s="20" t="str">
        <x:v>Assessing the effect of high performance computing capabilities on academic research output</x:v>
      </x:c>
      <x:c r="G6" s="20" t="str">
        <x:v>https://doi.org/10.1007/s00181-014-0847-6</x:v>
      </x:c>
      <x:c r="H6" s="20" t="str">
        <x:v>Included</x:v>
      </x:c>
      <x:c r="I6" s="20" t="str">
        <x:v>Peer-reviewed evidence cited for the relationship between campus HPC capability and research output.</x:v>
      </x:c>
      <x:c r="J6" s="20" t="str">
        <x:v>research impact; mission alignment</x:v>
      </x:c>
      <x:c r="K6" s="20" t="str">
        <x:v>Institutional service layer / Discussion</x:v>
      </x:c>
    </x:row>
    <x:row r="7">
      <x:c r="A7" s="20" t="str">
        <x:v>S04</x:v>
      </x:c>
      <x:c r="B7" s="20" t="str">
        <x:v>clark1998entrepreneurial</x:v>
      </x:c>
      <x:c r="C7" s="20" t="str">
        <x:v>Scholarly</x:v>
      </x:c>
      <x:c r="D7" s="20" t="str">
        <x:v>Clark, B. R.</x:v>
      </x:c>
      <x:c r="E7" s="20" t="str">
        <x:v>1998</x:v>
      </x:c>
      <x:c r="F7" s="20" t="str">
        <x:v>Creating Entrepreneurial Universities: Organizational Pathways of Transformation</x:v>
      </x:c>
      <x:c r="G7" s="20" t="str"/>
      <x:c r="H7" s="20" t="str">
        <x:v>Included</x:v>
      </x:c>
      <x:c r="I7" s="20" t="str">
        <x:v>Foundational scholarly source used to frame entrepreneurial/third-generation university transformation.</x:v>
      </x:c>
      <x:c r="J7" s="20" t="str">
        <x:v>governance; mission alignment</x:v>
      </x:c>
      <x:c r="K7" s="20" t="str">
        <x:v>Institutional framing</x:v>
      </x:c>
    </x:row>
    <x:row r="8">
      <x:c r="A8" s="20" t="str">
        <x:v>S05</x:v>
      </x:c>
      <x:c r="B8" s="20" t="str">
        <x:v>etzkowitz2003triple</x:v>
      </x:c>
      <x:c r="C8" s="20" t="str">
        <x:v>Scholarly</x:v>
      </x:c>
      <x:c r="D8" s="20" t="str">
        <x:v>Etzkowitz, H.</x:v>
      </x:c>
      <x:c r="E8" s="20" t="str">
        <x:v>2003</x:v>
      </x:c>
      <x:c r="F8" s="20" t="str">
        <x:v>Innovation in innovation: The triple helix of university–industry–government relations</x:v>
      </x:c>
      <x:c r="G8" s="20" t="str">
        <x:v>https://doi.org/10.1177/05390184030423002</x:v>
      </x:c>
      <x:c r="H8" s="20" t="str">
        <x:v>Included</x:v>
      </x:c>
      <x:c r="I8" s="20" t="str">
        <x:v>Peer-reviewed source used to frame university–industry–government interaction and external engagement.</x:v>
      </x:c>
      <x:c r="J8" s="20" t="str">
        <x:v>governance; external-project support; mission alignment</x:v>
      </x:c>
      <x:c r="K8" s="20" t="str">
        <x:v>Institutional service layer</x:v>
      </x:c>
    </x:row>
    <x:row r="9">
      <x:c r="A9" s="20" t="str">
        <x:v>S06</x:v>
      </x:c>
      <x:c r="B9" s="20" t="str">
        <x:v>ethjupyter2026</x:v>
      </x:c>
      <x:c r="C9" s="20" t="str">
        <x:v>Operational / technical guidance</x:v>
      </x:c>
      <x:c r="D9" s="20" t="str">
        <x:v>ETH Zurich Scientific IT Services</x:v>
      </x:c>
      <x:c r="E9" s="20" t="str">
        <x:v>2026</x:v>
      </x:c>
      <x:c r="F9" s="20" t="str">
        <x:v>JupyterHub on Euler</x:v>
      </x:c>
      <x:c r="G9" s="20" t="str">
        <x:v>https://docs.hpc.ethz.ch/services/jupyterhub/</x:v>
      </x:c>
      <x:c r="H9" s="20" t="str">
        <x:v>Included</x:v>
      </x:c>
      <x:c r="I9" s="20" t="str">
        <x:v>Established university research-computing guidance used for interactive notebook access and separation from production workloads.</x:v>
      </x:c>
      <x:c r="J9" s="20" t="str">
        <x:v>user access; pedagogy; resource scheduling</x:v>
      </x:c>
      <x:c r="K9" s="20" t="str">
        <x:v>AI &amp; data platform / User access</x:v>
      </x:c>
    </x:row>
    <x:row r="10">
      <x:c r="A10" s="20" t="str">
        <x:v>S07</x:v>
      </x:c>
      <x:c r="B10" s="20" t="str">
        <x:v>feola2021entrepreneurial</x:v>
      </x:c>
      <x:c r="C10" s="20" t="str">
        <x:v>Scholarly</x:v>
      </x:c>
      <x:c r="D10" s="20" t="str">
        <x:v>Feola, R.; Parente, R.; Cucino, V.</x:v>
      </x:c>
      <x:c r="E10" s="20" t="str">
        <x:v>2021</x:v>
      </x:c>
      <x:c r="F10" s="20" t="str">
        <x:v>The entrepreneurial university: How to develop the entrepreneurial orientation of academia</x:v>
      </x:c>
      <x:c r="G10" s="20" t="str">
        <x:v>https://doi.org/10.1007/s13132-020-00675-9</x:v>
      </x:c>
      <x:c r="H10" s="20" t="str">
        <x:v>Included</x:v>
      </x:c>
      <x:c r="I10" s="20" t="str">
        <x:v>Peer-reviewed source used to support organizational and external-engagement requirements of entrepreneurial universities.</x:v>
      </x:c>
      <x:c r="J10" s="20" t="str">
        <x:v>governance; external-project support; mission alignment</x:v>
      </x:c>
      <x:c r="K10" s="20" t="str">
        <x:v>Institutional framing</x:v>
      </x:c>
    </x:row>
    <x:row r="11">
      <x:c r="A11" s="20" t="str">
        <x:v>S08</x:v>
      </x:c>
      <x:c r="B11" s="20" t="str">
        <x:v>globus2026</x:v>
      </x:c>
      <x:c r="C11" s="20" t="str">
        <x:v>Operational / technical guidance</x:v>
      </x:c>
      <x:c r="D11" s="20" t="str">
        <x:v>Globus</x:v>
      </x:c>
      <x:c r="E11" s="20" t="str">
        <x:v>2026</x:v>
      </x:c>
      <x:c r="F11" s="20" t="str">
        <x:v>Globus</x:v>
      </x:c>
      <x:c r="G11" s="20" t="str">
        <x:v>https://www.globus.org/</x:v>
      </x:c>
      <x:c r="H11" s="20" t="str">
        <x:v>Included</x:v>
      </x:c>
      <x:c r="I11" s="20" t="str">
        <x:v>Official infrastructure-service source used to support mediated, reliable research-data movement.</x:v>
      </x:c>
      <x:c r="J11" s="20" t="str">
        <x:v>user access; identity and security; data movement</x:v>
      </x:c>
      <x:c r="K11" s="20" t="str">
        <x:v>AI &amp; data platform</x:v>
      </x:c>
    </x:row>
    <x:row r="12">
      <x:c r="A12" s="20" t="str">
        <x:v>S09</x:v>
      </x:c>
      <x:c r="B12" s="20" t="str">
        <x:v>hevner2004designscience</x:v>
      </x:c>
      <x:c r="C12" s="20" t="str">
        <x:v>Scholarly</x:v>
      </x:c>
      <x:c r="D12" s="20" t="str">
        <x:v>Hevner, A. R.; March, S. T.; Park, J.; Ram, S.</x:v>
      </x:c>
      <x:c r="E12" s="20" t="str">
        <x:v>2004</x:v>
      </x:c>
      <x:c r="F12" s="20" t="str">
        <x:v>Design science in information systems research</x:v>
      </x:c>
      <x:c r="G12" s="20" t="str">
        <x:v>https://doi.org/10.2307/25148625</x:v>
      </x:c>
      <x:c r="H12" s="20" t="str">
        <x:v>Included</x:v>
      </x:c>
      <x:c r="I12" s="20" t="str">
        <x:v>Peer-reviewed methodological foundation for artifact construction and evaluation.</x:v>
      </x:c>
      <x:c r="J12" s="20" t="str">
        <x:v>design-science methodology</x:v>
      </x:c>
      <x:c r="K12" s="20" t="str">
        <x:v>Methods / Evaluation</x:v>
      </x:c>
    </x:row>
    <x:row r="13">
      <x:c r="A13" s="20" t="str">
        <x:v>S10</x:v>
      </x:c>
      <x:c r="B13" s="20" t="str">
        <x:v>hussain2026aihcp</x:v>
      </x:c>
      <x:c r="C13" s="20" t="str">
        <x:v>Scholarly / background</x:v>
      </x:c>
      <x:c r="D13" s="20" t="str">
        <x:v>Hussain, T.; Islam, M. N. U.; Haider, A.; Alharbi, S.; Geok, T. K.</x:v>
      </x:c>
      <x:c r="E13" s="20" t="str">
        <x:v>2026</x:v>
      </x:c>
      <x:c r="F13" s="20" t="str">
        <x:v>AI and high-performance computing for entrepreneurial university transformation: A TRL-gated longitudinal case study from Pakistan</x:v>
      </x:c>
      <x:c r="G13" s="20" t="str"/>
      <x:c r="H13" s="20" t="str">
        <x:v>Included</x:v>
      </x:c>
      <x:c r="I13" s="20" t="str">
        <x:v>Cited only for background context; the present manuscript explicitly does not reuse its institutional outcome dataset.</x:v>
      </x:c>
      <x:c r="J13" s="20" t="str">
        <x:v>background context only</x:v>
      </x:c>
      <x:c r="K13" s="20" t="str">
        <x:v>Background / Distinctiveness</x:v>
      </x:c>
    </x:row>
    <x:row r="14">
      <x:c r="A14" s="20" t="str">
        <x:v>S11</x:v>
      </x:c>
      <x:c r="B14" s="20" t="str">
        <x:v>jupyterhub2026</x:v>
      </x:c>
      <x:c r="C14" s="20" t="str">
        <x:v>Operational / technical guidance</x:v>
      </x:c>
      <x:c r="D14" s="20" t="str">
        <x:v>Project Jupyter</x:v>
      </x:c>
      <x:c r="E14" s="20" t="str">
        <x:v>2026a</x:v>
      </x:c>
      <x:c r="F14" s="20" t="str">
        <x:v>JupyterHub</x:v>
      </x:c>
      <x:c r="G14" s="20" t="str">
        <x:v>https://github.com/jupyterhub/jupyterhub</x:v>
      </x:c>
      <x:c r="H14" s="20" t="str">
        <x:v>Included</x:v>
      </x:c>
      <x:c r="I14" s="20" t="str">
        <x:v>Official open-source project source used for multi-user browser-based notebook access.</x:v>
      </x:c>
      <x:c r="J14" s="20" t="str">
        <x:v>user access; pedagogy</x:v>
      </x:c>
      <x:c r="K14" s="20" t="str">
        <x:v>AI &amp; data platform</x:v>
      </x:c>
    </x:row>
    <x:row r="15">
      <x:c r="A15" s="20" t="str">
        <x:v>S12</x:v>
      </x:c>
      <x:c r="B15" s="20" t="str">
        <x:v>jupyterspawner2026</x:v>
      </x:c>
      <x:c r="C15" s="20" t="str">
        <x:v>Operational / technical guidance</x:v>
      </x:c>
      <x:c r="D15" s="20" t="str">
        <x:v>Project Jupyter</x:v>
      </x:c>
      <x:c r="E15" s="20" t="str">
        <x:v>2026b</x:v>
      </x:c>
      <x:c r="F15" s="20" t="str">
        <x:v>Spawner API and Spawners Basics in JupyterHub Documentation</x:v>
      </x:c>
      <x:c r="G15" s="20" t="str">
        <x:v>https://jupyterhub.readthedocs.io/en/stable/api/spawner.html</x:v>
      </x:c>
      <x:c r="H15" s="20" t="str">
        <x:v>Included</x:v>
      </x:c>
      <x:c r="I15" s="20" t="str">
        <x:v>Official project documentation used for controlled spawning of user notebook environments.</x:v>
      </x:c>
      <x:c r="J15" s="20" t="str">
        <x:v>user access; pedagogy; resource control</x:v>
      </x:c>
      <x:c r="K15" s="20" t="str">
        <x:v>AI &amp; data platform</x:v>
      </x:c>
    </x:row>
    <x:row r="16">
      <x:c r="A16" s="20" t="str">
        <x:v>S13</x:v>
      </x:c>
      <x:c r="B16" s="20" t="str">
        <x:v>march1995design</x:v>
      </x:c>
      <x:c r="C16" s="20" t="str">
        <x:v>Scholarly</x:v>
      </x:c>
      <x:c r="D16" s="20" t="str">
        <x:v>March, S. T.; Smith, G. F.</x:v>
      </x:c>
      <x:c r="E16" s="20" t="str">
        <x:v>1995</x:v>
      </x:c>
      <x:c r="F16" s="20" t="str">
        <x:v>Design and natural science research on information technology</x:v>
      </x:c>
      <x:c r="G16" s="20" t="str">
        <x:v>https://doi.org/10.1016/0167-9236(94)00041-2</x:v>
      </x:c>
      <x:c r="H16" s="20" t="str">
        <x:v>Included</x:v>
      </x:c>
      <x:c r="I16" s="20" t="str">
        <x:v>Peer-reviewed methodological source for design-science artifacts and evaluation.</x:v>
      </x:c>
      <x:c r="J16" s="20" t="str">
        <x:v>design-science methodology</x:v>
      </x:c>
      <x:c r="K16" s="20" t="str">
        <x:v>Methods</x:v>
      </x:c>
    </x:row>
    <x:row r="17">
      <x:c r="A17" s="20" t="str">
        <x:v>S14</x:v>
      </x:c>
      <x:c r="B17" s="20" t="str">
        <x:v>mlflowregistry2026</x:v>
      </x:c>
      <x:c r="C17" s="20" t="str">
        <x:v>Operational / technical guidance</x:v>
      </x:c>
      <x:c r="D17" s="20" t="str">
        <x:v>MLflow</x:v>
      </x:c>
      <x:c r="E17" s="20" t="str">
        <x:v>2026</x:v>
      </x:c>
      <x:c r="F17" s="20" t="str">
        <x:v>MLflow Model Registry</x:v>
      </x:c>
      <x:c r="G17" s="20" t="str">
        <x:v>https://mlflow.org/docs/latest/ml/model-registry/</x:v>
      </x:c>
      <x:c r="H17" s="20" t="str">
        <x:v>Included</x:v>
      </x:c>
      <x:c r="I17" s="20" t="str">
        <x:v>Official project documentation used to support model versioning, metadata, aliases, and promotion paths.</x:v>
      </x:c>
      <x:c r="J17" s="20" t="str">
        <x:v>reproducibility; model lifecycle</x:v>
      </x:c>
      <x:c r="K17" s="20" t="str">
        <x:v>AI &amp; data platform</x:v>
      </x:c>
    </x:row>
    <x:row r="18">
      <x:c r="A18" s="20" t="str">
        <x:v>S15</x:v>
      </x:c>
      <x:c r="B18" s="20" t="str">
        <x:v>mullen2019mooc</x:v>
      </x:c>
      <x:c r="C18" s="20" t="str">
        <x:v>Scholarly</x:v>
      </x:c>
      <x:c r="D18" s="20" t="str">
        <x:v>Mullen, J.; Filinger, W.; Milechin, L.; Henty, D.</x:v>
      </x:c>
      <x:c r="E18" s="20" t="str">
        <x:v>2019</x:v>
      </x:c>
      <x:c r="F18" s="20" t="str">
        <x:v>The impact of MOOC methodology on the scalability, accessibility and development of HPC education and training</x:v>
      </x:c>
      <x:c r="G18" s="20" t="str">
        <x:v>https://doi.org/10.22369/issn.2153-4136/10/1/11</x:v>
      </x:c>
      <x:c r="H18" s="20" t="str">
        <x:v>Included</x:v>
      </x:c>
      <x:c r="I18" s="20" t="str">
        <x:v>Peer-reviewed evidence used for scalable HPC education, accessibility, and skills development.</x:v>
      </x:c>
      <x:c r="J18" s="20" t="str">
        <x:v>pedagogy; workforce development</x:v>
      </x:c>
      <x:c r="K18" s="20" t="str">
        <x:v>Institutional service layer</x:v>
      </x:c>
    </x:row>
    <x:row r="19">
      <x:c r="A19" s="20" t="str">
        <x:v>S16</x:v>
      </x:c>
      <x:c r="B19" s="20" t="str">
        <x:v>nerscbestpractices2026</x:v>
      </x:c>
      <x:c r="C19" s="20" t="str">
        <x:v>Operational / technical guidance</x:v>
      </x:c>
      <x:c r="D19" s="20" t="str">
        <x:v>NERSC</x:v>
      </x:c>
      <x:c r="E19" s="20" t="str">
        <x:v>2026a</x:v>
      </x:c>
      <x:c r="F19" s="20" t="str">
        <x:v>Best Practices for Jobs</x:v>
      </x:c>
      <x:c r="G19" s="20" t="str">
        <x:v>https://docs.nersc.gov/jobs/best-practices/</x:v>
      </x:c>
      <x:c r="H19" s="20" t="str">
        <x:v>Included</x:v>
      </x:c>
      <x:c r="I19" s="20" t="str">
        <x:v>Established national research-computing guidance used for job practice and service/storage discipline.</x:v>
      </x:c>
      <x:c r="J19" s="20" t="str">
        <x:v>resource scheduling; storage discipline</x:v>
      </x:c>
      <x:c r="K19" s="20" t="str">
        <x:v>System software &amp; resource management</x:v>
      </x:c>
    </x:row>
    <x:row r="20">
      <x:c r="A20" s="20" t="str">
        <x:v>S17</x:v>
      </x:c>
      <x:c r="B20" s="20" t="str">
        <x:v>nersclustre2026</x:v>
      </x:c>
      <x:c r="C20" s="20" t="str">
        <x:v>Operational / technical guidance</x:v>
      </x:c>
      <x:c r="D20" s="20" t="str">
        <x:v>NERSC</x:v>
      </x:c>
      <x:c r="E20" s="20" t="str">
        <x:v>2026b</x:v>
      </x:c>
      <x:c r="F20" s="20" t="str">
        <x:v>Lustre File Striping</x:v>
      </x:c>
      <x:c r="G20" s="20" t="str">
        <x:v>https://docs.nersc.gov/performance/io/lustre/</x:v>
      </x:c>
      <x:c r="H20" s="20" t="str">
        <x:v>Included</x:v>
      </x:c>
      <x:c r="I20" s="20" t="str">
        <x:v>Established national research-computing guidance used for high-performance storage behavior and I/O.</x:v>
      </x:c>
      <x:c r="J20" s="20" t="str">
        <x:v>storage tiering; storage performance</x:v>
      </x:c>
      <x:c r="K20" s="20" t="str">
        <x:v>Physical HPC infrastructure</x:v>
      </x:c>
    </x:row>
    <x:row r="21">
      <x:c r="A21" s="20" t="str">
        <x:v>S18</x:v>
      </x:c>
      <x:c r="B21" s="20" t="str">
        <x:v>nvidiasuperpod2025</x:v>
      </x:c>
      <x:c r="C21" s="20" t="str">
        <x:v>Operational / technical guidance</x:v>
      </x:c>
      <x:c r="D21" s="20" t="str">
        <x:v>NVIDIA</x:v>
      </x:c>
      <x:c r="E21" s="20" t="str">
        <x:v>2025</x:v>
      </x:c>
      <x:c r="F21" s="20" t="str">
        <x:v>DGX SuperPOD: Next Generation Scalable Infrastructure for AI Leadership Reference Architecture</x:v>
      </x:c>
      <x:c r="G21" s="20" t="str">
        <x:v>https://docs.nvidia.com/dgx-superpod/reference-architecture-scalable-infrastructure-b200/latest/</x:v>
      </x:c>
      <x:c r="H21" s="20" t="str">
        <x:v>Included</x:v>
      </x:c>
      <x:c r="I21" s="20" t="str">
        <x:v>Infrastructure-provider reference architecture used for compute/storage fabrics, management networks, power, cooling, and OOB design.</x:v>
      </x:c>
      <x:c r="J21" s="20" t="str">
        <x:v>physical architecture; monitoring; networking; sustainability</x:v>
      </x:c>
      <x:c r="K21" s="20" t="str">
        <x:v>Physical HPC infrastructure</x:v>
      </x:c>
    </x:row>
    <x:row r="22">
      <x:c r="A22" s="20" t="str">
        <x:v>S19</x:v>
      </x:c>
      <x:c r="B22" s="20" t="str">
        <x:v>oodhome2026</x:v>
      </x:c>
      <x:c r="C22" s="20" t="str">
        <x:v>Operational / technical guidance</x:v>
      </x:c>
      <x:c r="D22" s="20" t="str">
        <x:v>Open OnDemand</x:v>
      </x:c>
      <x:c r="E22" s="20" t="str">
        <x:v>2026a</x:v>
      </x:c>
      <x:c r="F22" s="20" t="str">
        <x:v>Open OnDemand: Connecting Computing Power With Powerful Minds</x:v>
      </x:c>
      <x:c r="G22" s="20" t="str">
        <x:v>https://www.openondemand.org/</x:v>
      </x:c>
      <x:c r="H22" s="20" t="str">
        <x:v>Included</x:v>
      </x:c>
      <x:c r="I22" s="20" t="str">
        <x:v>Official project source used to support browser-based HPC access.</x:v>
      </x:c>
      <x:c r="J22" s="20" t="str">
        <x:v>user access; pedagogy</x:v>
      </x:c>
      <x:c r="K22" s="20" t="str">
        <x:v>System software / Institutional access</x:v>
      </x:c>
    </x:row>
    <x:row r="23">
      <x:c r="A23" s="20" t="str">
        <x:v>S20</x:v>
      </x:c>
      <x:c r="B23" s="20" t="str">
        <x:v>oodjobcomposer2026</x:v>
      </x:c>
      <x:c r="C23" s="20" t="str">
        <x:v>Operational / technical guidance</x:v>
      </x:c>
      <x:c r="D23" s="20" t="str">
        <x:v>Ohio Supercomputer Center</x:v>
      </x:c>
      <x:c r="E23" s="20" t="str">
        <x:v>2026</x:v>
      </x:c>
      <x:c r="F23" s="20" t="str">
        <x:v>Job Composer App — Open OnDemand Documentation</x:v>
      </x:c>
      <x:c r="G23" s="20" t="str">
        <x:v>https://osc.github.io/ood-documentation/release-1.6/applications/job-composer.html</x:v>
      </x:c>
      <x:c r="H23" s="20" t="str">
        <x:v>Included</x:v>
      </x:c>
      <x:c r="I23" s="20" t="str">
        <x:v>Established research-computing documentation used for browser-based job submission workflows.</x:v>
      </x:c>
      <x:c r="J23" s="20" t="str">
        <x:v>user access; pedagogy; resource scheduling</x:v>
      </x:c>
      <x:c r="K23" s="20" t="str">
        <x:v>System software / Institutional access</x:v>
      </x:c>
    </x:row>
    <x:row r="24">
      <x:c r="A24" s="20" t="str">
        <x:v>S21</x:v>
      </x:c>
      <x:c r="B24" s="20" t="str">
        <x:v>openhpcv402025</x:v>
      </x:c>
      <x:c r="C24" s="20" t="str">
        <x:v>Operational / technical guidance</x:v>
      </x:c>
      <x:c r="D24" s="20" t="str">
        <x:v>OpenHPC Community</x:v>
      </x:c>
      <x:c r="E24" s="20" t="str">
        <x:v>2025</x:v>
      </x:c>
      <x:c r="F24" s="20" t="str">
        <x:v>OpenHPC v4.0 Release: Major OS Support and New Provisioning Systems</x:v>
      </x:c>
      <x:c r="G24" s="20" t="str">
        <x:v>https://openhpc.community/news/2025/openhpc-v4-0-release-major-os-support-and-new-provisioning-systems/</x:v>
      </x:c>
      <x:c r="H24" s="20" t="str">
        <x:v>Included</x:v>
      </x:c>
      <x:c r="I24" s="20" t="str">
        <x:v>Official OpenHPC release information used for provisioning and deployment evolution.</x:v>
      </x:c>
      <x:c r="J24" s="20" t="str">
        <x:v>physical architecture; provisioning; scalability</x:v>
      </x:c>
      <x:c r="K24" s="20" t="str">
        <x:v>System software &amp; resource management</x:v>
      </x:c>
    </x:row>
    <x:row r="25">
      <x:c r="A25" s="20" t="str">
        <x:v>S22</x:v>
      </x:c>
      <x:c r="B25" s="20" t="str">
        <x:v>openhpcdownloads2026</x:v>
      </x:c>
      <x:c r="C25" s="20" t="str">
        <x:v>Operational / technical guidance</x:v>
      </x:c>
      <x:c r="D25" s="20" t="str">
        <x:v>OpenHPC Community</x:v>
      </x:c>
      <x:c r="E25" s="20" t="str">
        <x:v>2026a</x:v>
      </x:c>
      <x:c r="F25" s="20" t="str">
        <x:v>OpenHPC Downloads and Install Recipes</x:v>
      </x:c>
      <x:c r="G25" s="20" t="str">
        <x:v>https://openhpc.community/downloads/</x:v>
      </x:c>
      <x:c r="H25" s="20" t="str">
        <x:v>Included</x:v>
      </x:c>
      <x:c r="I25" s="20" t="str">
        <x:v>Official installation recipes used for repeatable HPC provisioning, compilers, libraries, and Slurm-based deployment.</x:v>
      </x:c>
      <x:c r="J25" s="20" t="str">
        <x:v>provisioning; reproducibility; scalability</x:v>
      </x:c>
      <x:c r="K25" s="20" t="str">
        <x:v>System software &amp; resource management</x:v>
      </x:c>
    </x:row>
    <x:row r="26">
      <x:c r="A26" s="20" t="str">
        <x:v>S23</x:v>
      </x:c>
      <x:c r="B26" s="20" t="str">
        <x:v>openhpcv352026</x:v>
      </x:c>
      <x:c r="C26" s="20" t="str">
        <x:v>Operational / technical guidance</x:v>
      </x:c>
      <x:c r="D26" s="20" t="str">
        <x:v>OpenHPC Community</x:v>
      </x:c>
      <x:c r="E26" s="20" t="str">
        <x:v>2026b</x:v>
      </x:c>
      <x:c r="F26" s="20" t="str">
        <x:v>OpenHPC v3.5 Release: Major Slurm Upgrade and Library Modernization</x:v>
      </x:c>
      <x:c r="G26" s="20" t="str">
        <x:v>https://openhpc.community/news/2026/openhpc-v3-5-release-major-slurm-upgrade-and-library-modernization/</x:v>
      </x:c>
      <x:c r="H26" s="20" t="str">
        <x:v>Included</x:v>
      </x:c>
      <x:c r="I26" s="20" t="str">
        <x:v>Official OpenHPC release information used for modular provisioning and software-stack modernization.</x:v>
      </x:c>
      <x:c r="J26" s="20" t="str">
        <x:v>provisioning; scalability</x:v>
      </x:c>
      <x:c r="K26" s="20" t="str">
        <x:v>System software &amp; resource management</x:v>
      </x:c>
    </x:row>
    <x:row r="27">
      <x:c r="A27" s="20" t="str">
        <x:v>S24</x:v>
      </x:c>
      <x:c r="B27" s="20" t="str">
        <x:v>peffers2007dsrm</x:v>
      </x:c>
      <x:c r="C27" s="20" t="str">
        <x:v>Scholarly</x:v>
      </x:c>
      <x:c r="D27" s="20" t="str">
        <x:v>Peffers, K.; Tuunanen, T.; Rothenberger, M. A.; Chatterjee, S.</x:v>
      </x:c>
      <x:c r="E27" s="20" t="str">
        <x:v>2007</x:v>
      </x:c>
      <x:c r="F27" s="20" t="str">
        <x:v>A design science research methodology for information systems research</x:v>
      </x:c>
      <x:c r="G27" s="20" t="str">
        <x:v>https://doi.org/10.2753/MIS0742-1222240302</x:v>
      </x:c>
      <x:c r="H27" s="20" t="str">
        <x:v>Included</x:v>
      </x:c>
      <x:c r="I27" s="20" t="str">
        <x:v>Peer-reviewed methodological source used for the six-step artifact construction process and evaluation logic.</x:v>
      </x:c>
      <x:c r="J27" s="20" t="str">
        <x:v>design-science methodology</x:v>
      </x:c>
      <x:c r="K27" s="20" t="str">
        <x:v>Methods / Evaluation</x:v>
      </x:c>
    </x:row>
    <x:row r="28">
      <x:c r="A28" s="20" t="str">
        <x:v>S25</x:v>
      </x:c>
      <x:c r="B28" s="20" t="str">
        <x:v>princetonondemand2026</x:v>
      </x:c>
      <x:c r="C28" s="20" t="str">
        <x:v>Operational / technical guidance</x:v>
      </x:c>
      <x:c r="D28" s="20" t="str">
        <x:v>Princeton Research Computing</x:v>
      </x:c>
      <x:c r="E28" s="20" t="str">
        <x:v>2026a</x:v>
      </x:c>
      <x:c r="F28" s="20" t="str">
        <x:v>OnDemand Portal</x:v>
      </x:c>
      <x:c r="G28" s="20" t="str">
        <x:v>https://rse.princeton.edu/support/knowledge-base/ondemand-portal</x:v>
      </x:c>
      <x:c r="H28" s="20" t="str">
        <x:v>Included</x:v>
      </x:c>
      <x:c r="I28" s="20" t="str">
        <x:v>Established university research-computing documentation used for browser-based portal access.</x:v>
      </x:c>
      <x:c r="J28" s="20" t="str">
        <x:v>user access; pedagogy</x:v>
      </x:c>
      <x:c r="K28" s="20" t="str">
        <x:v>System software / Institutional access</x:v>
      </x:c>
    </x:row>
    <x:row r="29">
      <x:c r="A29" s="20" t="str">
        <x:v>S26</x:v>
      </x:c>
      <x:c r="B29" s="20" t="str">
        <x:v>princetonstorage2026</x:v>
      </x:c>
      <x:c r="C29" s="20" t="str">
        <x:v>Operational / technical guidance</x:v>
      </x:c>
      <x:c r="D29" s="20" t="str">
        <x:v>Princeton Research Computing</x:v>
      </x:c>
      <x:c r="E29" s="20" t="str">
        <x:v>2026b</x:v>
      </x:c>
      <x:c r="F29" s="20" t="str">
        <x:v>Data Storage</x:v>
      </x:c>
      <x:c r="G29" s="20" t="str">
        <x:v>https://researchcomputing.princeton.edu/support/knowledge-base/data-storage</x:v>
      </x:c>
      <x:c r="H29" s="20" t="str">
        <x:v>Included</x:v>
      </x:c>
      <x:c r="I29" s="20" t="str">
        <x:v>Established university research-computing guidance used for separating persistent and temporary storage.</x:v>
      </x:c>
      <x:c r="J29" s="20" t="str">
        <x:v>storage tiering; governance</x:v>
      </x:c>
      <x:c r="K29" s="20" t="str">
        <x:v>Physical HPC infrastructure</x:v>
      </x:c>
    </x:row>
    <x:row r="30">
      <x:c r="A30" s="20" t="str">
        <x:v>S27</x:v>
      </x:c>
      <x:c r="B30" s="20" t="str">
        <x:v>princetonscratch2026</x:v>
      </x:c>
      <x:c r="C30" s="20" t="str">
        <x:v>Operational / technical guidance</x:v>
      </x:c>
      <x:c r="D30" s="20" t="str">
        <x:v>Princeton Research Computing</x:v>
      </x:c>
      <x:c r="E30" s="20" t="str">
        <x:v>2026c</x:v>
      </x:c>
      <x:c r="F30" s="20" t="str">
        <x:v>Scratch Disk</x:v>
      </x:c>
      <x:c r="G30" s="20" t="str">
        <x:v>https://researchcomputing.princeton.edu/storage/networkscratch</x:v>
      </x:c>
      <x:c r="H30" s="20" t="str">
        <x:v>Included</x:v>
      </x:c>
      <x:c r="I30" s="20" t="str">
        <x:v>Established university research-computing guidance used for temporary scratch-storage practice.</x:v>
      </x:c>
      <x:c r="J30" s="20" t="str">
        <x:v>storage tiering; storage performance</x:v>
      </x:c>
      <x:c r="K30" s="20" t="str">
        <x:v>Physical HPC infrastructure</x:v>
      </x:c>
    </x:row>
    <x:row r="31">
      <x:c r="A31" s="20" t="str">
        <x:v>S28</x:v>
      </x:c>
      <x:c r="B31" s="20" t="str">
        <x:v>slurmtopology2026</x:v>
      </x:c>
      <x:c r="C31" s="20" t="str">
        <x:v>Operational / technical guidance</x:v>
      </x:c>
      <x:c r="D31" s="20" t="str">
        <x:v>SchedMD</x:v>
      </x:c>
      <x:c r="E31" s="20" t="str">
        <x:v>2026a</x:v>
      </x:c>
      <x:c r="F31" s="20" t="str">
        <x:v>Slurm Workload Manager: Topology Guide</x:v>
      </x:c>
      <x:c r="G31" s="20" t="str">
        <x:v>https://slurm.schedmd.com/topology.html</x:v>
      </x:c>
      <x:c r="H31" s="20" t="str">
        <x:v>Included</x:v>
      </x:c>
      <x:c r="I31" s="20" t="str">
        <x:v>Official scheduler-maintainer guidance used for topology-aware scheduling and operational design.</x:v>
      </x:c>
      <x:c r="J31" s="20" t="str">
        <x:v>resource scheduling; monitoring</x:v>
      </x:c>
      <x:c r="K31" s="20" t="str">
        <x:v>System software &amp; resource management</x:v>
      </x:c>
    </x:row>
    <x:row r="32">
      <x:c r="A32" s="20" t="str">
        <x:v>S29</x:v>
      </x:c>
      <x:c r="B32" s="20" t="str">
        <x:v>slurmqos2026</x:v>
      </x:c>
      <x:c r="C32" s="20" t="str">
        <x:v>Operational / technical guidance</x:v>
      </x:c>
      <x:c r="D32" s="20" t="str">
        <x:v>SchedMD</x:v>
      </x:c>
      <x:c r="E32" s="20" t="str">
        <x:v>2026b</x:v>
      </x:c>
      <x:c r="F32" s="20" t="str">
        <x:v>Slurm Workload Manager: Quality of Service (QOS)</x:v>
      </x:c>
      <x:c r="G32" s="20" t="str">
        <x:v>https://slurm.schedmd.com/qos.html</x:v>
      </x:c>
      <x:c r="H32" s="20" t="str">
        <x:v>Included</x:v>
      </x:c>
      <x:c r="I32" s="20" t="str">
        <x:v>Official scheduler-maintainer guidance used for differentiated service classes and queue discipline.</x:v>
      </x:c>
      <x:c r="J32" s="20" t="str">
        <x:v>resource scheduling; governance</x:v>
      </x:c>
      <x:c r="K32" s="20" t="str">
        <x:v>System software &amp; resource management</x:v>
      </x:c>
    </x:row>
    <x:row r="33">
      <x:c r="A33" s="20" t="str">
        <x:v>S30</x:v>
      </x:c>
      <x:c r="B33" s="20" t="str">
        <x:v>smith2024value</x:v>
      </x:c>
      <x:c r="C33" s="20" t="str">
        <x:v>Scholarly</x:v>
      </x:c>
      <x:c r="D33" s="20" t="str">
        <x:v>Smith, P.</x:v>
      </x:c>
      <x:c r="E33" s="20" t="str">
        <x:v>2024</x:v>
      </x:c>
      <x:c r="F33" s="20" t="str">
        <x:v>The value proposition of campus high performance computing facilities to institutional productivity: A production function model</x:v>
      </x:c>
      <x:c r="G33" s="20" t="str">
        <x:v>https://doi.org/10.1007/s42979-024-02888-0</x:v>
      </x:c>
      <x:c r="H33" s="20" t="str">
        <x:v>Included</x:v>
      </x:c>
      <x:c r="I33" s="20" t="str">
        <x:v>Peer-reviewed source cited for institutional productivity and campus-HPC value.</x:v>
      </x:c>
      <x:c r="J33" s="20" t="str">
        <x:v>research impact; mission alignment</x:v>
      </x:c>
      <x:c r="K33" s="20" t="str">
        <x:v>Discussion</x:v>
      </x:c>
    </x:row>
    <x:row r="34">
      <x:c r="A34" s="20" t="str">
        <x:v>S31</x:v>
      </x:c>
      <x:c r="B34" s="20" t="str">
        <x:v>stanfordsherlock2026</x:v>
      </x:c>
      <x:c r="C34" s="20" t="str">
        <x:v>Operational / technical guidance</x:v>
      </x:c>
      <x:c r="D34" s="20" t="str">
        <x:v>Stanford Research Computing</x:v>
      </x:c>
      <x:c r="E34" s="20" t="str">
        <x:v>2026a</x:v>
      </x:c>
      <x:c r="F34" s="20" t="str">
        <x:v>Sherlock Documentation</x:v>
      </x:c>
      <x:c r="G34" s="20" t="str">
        <x:v>https://www.sherlock.stanford.edu/docs/</x:v>
      </x:c>
      <x:c r="H34" s="20" t="str">
        <x:v>Included</x:v>
      </x:c>
      <x:c r="I34" s="20" t="str">
        <x:v>Established university research-computing service documentation used for operating and sustainability practices, including condominium-style participation.</x:v>
      </x:c>
      <x:c r="J34" s="20" t="str">
        <x:v>governance; sustainability; user access</x:v>
      </x:c>
      <x:c r="K34" s="20" t="str">
        <x:v>Institutional operating model</x:v>
      </x:c>
    </x:row>
    <x:row r="35">
      <x:c r="A35" s="20" t="str">
        <x:v>S32</x:v>
      </x:c>
      <x:c r="B35" s="20" t="str">
        <x:v>stanfordstorage2026</x:v>
      </x:c>
      <x:c r="C35" s="20" t="str">
        <x:v>Operational / technical guidance</x:v>
      </x:c>
      <x:c r="D35" s="20" t="str">
        <x:v>Stanford Research Computing</x:v>
      </x:c>
      <x:c r="E35" s="20" t="str">
        <x:v>2026b</x:v>
      </x:c>
      <x:c r="F35" s="20" t="str">
        <x:v>Storage on Sherlock</x:v>
      </x:c>
      <x:c r="G35" s="20" t="str">
        <x:v>https://www.sherlock.stanford.edu/docs/storage/</x:v>
      </x:c>
      <x:c r="H35" s="20" t="str">
        <x:v>Included</x:v>
      </x:c>
      <x:c r="I35" s="20" t="str">
        <x:v>Established university research-computing guidance used for home/group/scratch/long-term storage separation.</x:v>
      </x:c>
      <x:c r="J35" s="20" t="str">
        <x:v>storage tiering; governance</x:v>
      </x:c>
      <x:c r="K35" s="20" t="str">
        <x:v>Physical HPC infrastructure</x:v>
      </x:c>
    </x:row>
    <x:row r="36">
      <x:c r="A36" s="20" t="str">
        <x:v>S33</x:v>
      </x:c>
      <x:c r="B36" s="20" t="str">
        <x:v>nsfccstar2024</x:v>
      </x:c>
      <x:c r="C36" s="20" t="str">
        <x:v>Operational / policy guidance</x:v>
      </x:c>
      <x:c r="D36" s="20" t="str">
        <x:v>U.S. National Science Foundation</x:v>
      </x:c>
      <x:c r="E36" s="20" t="str">
        <x:v>2024</x:v>
      </x:c>
      <x:c r="F36" s="20" t="str">
        <x:v>Campus Cyberinfrastructure (CC*) Program Solicitation 24-530</x:v>
      </x:c>
      <x:c r="G36" s="20" t="str">
        <x:v>https://www.nsf.gov/funding/opportunities/cc-campus-cyberinfrastructure/nsf24-530/solicitation</x:v>
      </x:c>
      <x:c r="H36" s="20" t="str">
        <x:v>Included</x:v>
      </x:c>
      <x:c r="I36" s="20" t="str">
        <x:v>National funding-agency guidance used to support science-driven, integrated cyberinfrastructure and workforce development.</x:v>
      </x:c>
      <x:c r="J36" s="20" t="str">
        <x:v>mission alignment; pedagogy; governance; sustainability</x:v>
      </x:c>
      <x:c r="K36" s="20" t="str">
        <x:v>Institutional service layer / Readiness</x:v>
      </x:c>
    </x:row>
    <x:row r="37">
      <x:c r="A37" s="20" t="str">
        <x:v>S34</x:v>
      </x:c>
      <x:c r="B37" s="20" t="str">
        <x:v>weidner2017rethinking</x:v>
      </x:c>
      <x:c r="C37" s="20" t="str">
        <x:v>Scholarly</x:v>
      </x:c>
      <x:c r="D37" s="20" t="str">
        <x:v>Weidner, O.; Atkinson, M.; Barker, A.; Filgueira, R.</x:v>
      </x:c>
      <x:c r="E37" s="20" t="str">
        <x:v>2018</x:v>
      </x:c>
      <x:c r="F37" s="20" t="str">
        <x:v>Rethinking high performance computing platforms: Challenges, opportunities and recommendations</x:v>
      </x:c>
      <x:c r="G37" s="20" t="str">
        <x:v>https://doi.org/10.1016/j.future.2017.02.017</x:v>
      </x:c>
      <x:c r="H37" s="20" t="str">
        <x:v>Included</x:v>
      </x:c>
      <x:c r="I37" s="20" t="str">
        <x:v>Peer-reviewed source used to support heterogeneous research-computing platforms and mixed workflow requirements.</x:v>
      </x:c>
      <x:c r="J37" s="20" t="str">
        <x:v>heterogeneous workloads; platform design</x:v>
      </x:c>
      <x:c r="K37" s="20" t="str">
        <x:v>Reference architecture</x:v>
      </x:c>
    </x:row>
    <x:row r="38">
      <x:c r="A38" s="20" t="str">
        <x:v>S35</x:v>
      </x:c>
      <x:c r="B38" s="20" t="str">
        <x:v>wissema2009third</x:v>
      </x:c>
      <x:c r="C38" s="20" t="str">
        <x:v>Scholarly</x:v>
      </x:c>
      <x:c r="D38" s="20" t="str">
        <x:v>Wissema, J. G.</x:v>
      </x:c>
      <x:c r="E38" s="20" t="str">
        <x:v>2009</x:v>
      </x:c>
      <x:c r="F38" s="20" t="str">
        <x:v>Towards the Third Generation University: Managing the University in Transition</x:v>
      </x:c>
      <x:c r="G38" s="20" t="str"/>
      <x:c r="H38" s="20" t="str">
        <x:v>Included</x:v>
      </x:c>
      <x:c r="I38" s="20" t="str">
        <x:v>Foundational scholarly source used to define the third-generation university and mission alignment.</x:v>
      </x:c>
      <x:c r="J38" s="20" t="str">
        <x:v>mission alignment; governance; external engagement</x:v>
      </x:c>
      <x:c r="K38" s="20" t="str">
        <x:v>Institutional framing</x:v>
      </x:c>
    </x:row>
    <x:row r="40" ht="34" customHeight="1">
      <x:c r="A40" s="24" t="str">
        <x:v>This is the final retained evidence base reported in the manuscript; URLs/DOIs are provided in plain text where available.</x:v>
      </x:c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</x:row>
  </x:sheetData>
  <x:mergeCells>
    <x:mergeCell ref="A1:K1"/>
    <x:mergeCell ref="A40:K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26" hidden="0" customWidth="1"/>
    <x:col min="5" max="5" width="72" hidden="0" customWidth="1"/>
    <x:col min="6" max="6" width="54" hidden="0" customWidth="1"/>
  </x:cols>
  <x:sheetData>
    <x:row r="1" ht="28" customHeight="1">
      <x:c r="A1" s="4" t="str">
        <x:v>Eligibility Notes for Retained Sources</x:v>
      </x:c>
      <x:c r="B1" s="4"/>
      <x:c r="C1" s="4"/>
      <x:c r="D1" s="4"/>
      <x:c r="E1" s="4"/>
      <x:c r="F1" s="4"/>
    </x:row>
    <x:row r="3">
      <x:c r="A3" s="12" t="str">
        <x:v>Source_ID</x:v>
      </x:c>
      <x:c r="B3" s="12" t="str">
        <x:v>Citation_Key</x:v>
      </x:c>
      <x:c r="C3" s="12" t="str">
        <x:v>Eligibility_Result</x:v>
      </x:c>
      <x:c r="D3" s="12" t="str">
        <x:v>Source_Class</x:v>
      </x:c>
      <x:c r="E3" s="12" t="str">
        <x:v>Eligibility_Rationale</x:v>
      </x:c>
      <x:c r="F3" s="12" t="str">
        <x:v>Exclusion_Log_Status</x:v>
      </x:c>
    </x:row>
    <x:row r="4">
      <x:c r="A4" s="20" t="str">
        <x:v>S01</x:v>
      </x:c>
      <x:c r="B4" s="20" t="str">
        <x:v>apptainersecurity2026</x:v>
      </x:c>
      <x:c r="C4" s="20" t="str">
        <x:v>Included</x:v>
      </x:c>
      <x:c r="D4" s="20" t="str">
        <x:v>Operational / technical guidance</x:v>
      </x:c>
      <x:c r="E4" s="20" t="str">
        <x:v>Official platform-maintainer security guidance used for container security and user-context execution.</x:v>
      </x:c>
      <x:c r="F4" s="20" t="str">
        <x:v>No rejected-source record is asserted; manuscript reports only the retained evidence base.</x:v>
      </x:c>
    </x:row>
    <x:row r="5">
      <x:c r="A5" s="20" t="str">
        <x:v>S02</x:v>
      </x:c>
      <x:c r="B5" s="20" t="str">
        <x:v>apptainersign2026</x:v>
      </x:c>
      <x:c r="C5" s="20" t="str">
        <x:v>Included</x:v>
      </x:c>
      <x:c r="D5" s="20" t="str">
        <x:v>Operational / technical guidance</x:v>
      </x:c>
      <x:c r="E5" s="20" t="str">
        <x:v>Official platform-maintainer guidance used for image signing, verification, and integrity controls.</x:v>
      </x:c>
      <x:c r="F5" s="20" t="str">
        <x:v>No rejected-source record is asserted; manuscript reports only the retained evidence base.</x:v>
      </x:c>
    </x:row>
    <x:row r="6">
      <x:c r="A6" s="20" t="str">
        <x:v>S03</x:v>
      </x:c>
      <x:c r="B6" s="20" t="str">
        <x:v>apon2014assessing</x:v>
      </x:c>
      <x:c r="C6" s="20" t="str">
        <x:v>Included</x:v>
      </x:c>
      <x:c r="D6" s="20" t="str">
        <x:v>Scholarly</x:v>
      </x:c>
      <x:c r="E6" s="20" t="str">
        <x:v>Peer-reviewed evidence cited for the relationship between campus HPC capability and research output.</x:v>
      </x:c>
      <x:c r="F6" s="20" t="str">
        <x:v>No rejected-source record is asserted; manuscript reports only the retained evidence base.</x:v>
      </x:c>
    </x:row>
    <x:row r="7">
      <x:c r="A7" s="20" t="str">
        <x:v>S04</x:v>
      </x:c>
      <x:c r="B7" s="20" t="str">
        <x:v>clark1998entrepreneurial</x:v>
      </x:c>
      <x:c r="C7" s="20" t="str">
        <x:v>Included</x:v>
      </x:c>
      <x:c r="D7" s="20" t="str">
        <x:v>Scholarly</x:v>
      </x:c>
      <x:c r="E7" s="20" t="str">
        <x:v>Foundational scholarly source used to frame entrepreneurial/third-generation university transformation.</x:v>
      </x:c>
      <x:c r="F7" s="20" t="str">
        <x:v>No rejected-source record is asserted; manuscript reports only the retained evidence base.</x:v>
      </x:c>
    </x:row>
    <x:row r="8">
      <x:c r="A8" s="20" t="str">
        <x:v>S05</x:v>
      </x:c>
      <x:c r="B8" s="20" t="str">
        <x:v>etzkowitz2003triple</x:v>
      </x:c>
      <x:c r="C8" s="20" t="str">
        <x:v>Included</x:v>
      </x:c>
      <x:c r="D8" s="20" t="str">
        <x:v>Scholarly</x:v>
      </x:c>
      <x:c r="E8" s="20" t="str">
        <x:v>Peer-reviewed source used to frame university–industry–government interaction and external engagement.</x:v>
      </x:c>
      <x:c r="F8" s="20" t="str">
        <x:v>No rejected-source record is asserted; manuscript reports only the retained evidence base.</x:v>
      </x:c>
    </x:row>
    <x:row r="9">
      <x:c r="A9" s="20" t="str">
        <x:v>S06</x:v>
      </x:c>
      <x:c r="B9" s="20" t="str">
        <x:v>ethjupyter2026</x:v>
      </x:c>
      <x:c r="C9" s="20" t="str">
        <x:v>Included</x:v>
      </x:c>
      <x:c r="D9" s="20" t="str">
        <x:v>Operational / technical guidance</x:v>
      </x:c>
      <x:c r="E9" s="20" t="str">
        <x:v>Established university research-computing guidance used for interactive notebook access and separation from production workloads.</x:v>
      </x:c>
      <x:c r="F9" s="20" t="str">
        <x:v>No rejected-source record is asserted; manuscript reports only the retained evidence base.</x:v>
      </x:c>
    </x:row>
    <x:row r="10">
      <x:c r="A10" s="20" t="str">
        <x:v>S07</x:v>
      </x:c>
      <x:c r="B10" s="20" t="str">
        <x:v>feola2021entrepreneurial</x:v>
      </x:c>
      <x:c r="C10" s="20" t="str">
        <x:v>Included</x:v>
      </x:c>
      <x:c r="D10" s="20" t="str">
        <x:v>Scholarly</x:v>
      </x:c>
      <x:c r="E10" s="20" t="str">
        <x:v>Peer-reviewed source used to support organizational and external-engagement requirements of entrepreneurial universities.</x:v>
      </x:c>
      <x:c r="F10" s="20" t="str">
        <x:v>No rejected-source record is asserted; manuscript reports only the retained evidence base.</x:v>
      </x:c>
    </x:row>
    <x:row r="11">
      <x:c r="A11" s="20" t="str">
        <x:v>S08</x:v>
      </x:c>
      <x:c r="B11" s="20" t="str">
        <x:v>globus2026</x:v>
      </x:c>
      <x:c r="C11" s="20" t="str">
        <x:v>Included</x:v>
      </x:c>
      <x:c r="D11" s="20" t="str">
        <x:v>Operational / technical guidance</x:v>
      </x:c>
      <x:c r="E11" s="20" t="str">
        <x:v>Official infrastructure-service source used to support mediated, reliable research-data movement.</x:v>
      </x:c>
      <x:c r="F11" s="20" t="str">
        <x:v>No rejected-source record is asserted; manuscript reports only the retained evidence base.</x:v>
      </x:c>
    </x:row>
    <x:row r="12">
      <x:c r="A12" s="20" t="str">
        <x:v>S09</x:v>
      </x:c>
      <x:c r="B12" s="20" t="str">
        <x:v>hevner2004designscience</x:v>
      </x:c>
      <x:c r="C12" s="20" t="str">
        <x:v>Included</x:v>
      </x:c>
      <x:c r="D12" s="20" t="str">
        <x:v>Scholarly</x:v>
      </x:c>
      <x:c r="E12" s="20" t="str">
        <x:v>Peer-reviewed methodological foundation for artifact construction and evaluation.</x:v>
      </x:c>
      <x:c r="F12" s="20" t="str">
        <x:v>No rejected-source record is asserted; manuscript reports only the retained evidence base.</x:v>
      </x:c>
    </x:row>
    <x:row r="13">
      <x:c r="A13" s="20" t="str">
        <x:v>S10</x:v>
      </x:c>
      <x:c r="B13" s="20" t="str">
        <x:v>hussain2026aihcp</x:v>
      </x:c>
      <x:c r="C13" s="20" t="str">
        <x:v>Included</x:v>
      </x:c>
      <x:c r="D13" s="20" t="str">
        <x:v>Scholarly / background</x:v>
      </x:c>
      <x:c r="E13" s="20" t="str">
        <x:v>Cited only for background context; the present manuscript explicitly does not reuse its institutional outcome dataset.</x:v>
      </x:c>
      <x:c r="F13" s="20" t="str">
        <x:v>No rejected-source record is asserted; manuscript reports only the retained evidence base.</x:v>
      </x:c>
    </x:row>
    <x:row r="14">
      <x:c r="A14" s="20" t="str">
        <x:v>S11</x:v>
      </x:c>
      <x:c r="B14" s="20" t="str">
        <x:v>jupyterhub2026</x:v>
      </x:c>
      <x:c r="C14" s="20" t="str">
        <x:v>Included</x:v>
      </x:c>
      <x:c r="D14" s="20" t="str">
        <x:v>Operational / technical guidance</x:v>
      </x:c>
      <x:c r="E14" s="20" t="str">
        <x:v>Official open-source project source used for multi-user browser-based notebook access.</x:v>
      </x:c>
      <x:c r="F14" s="20" t="str">
        <x:v>No rejected-source record is asserted; manuscript reports only the retained evidence base.</x:v>
      </x:c>
    </x:row>
    <x:row r="15">
      <x:c r="A15" s="20" t="str">
        <x:v>S12</x:v>
      </x:c>
      <x:c r="B15" s="20" t="str">
        <x:v>jupyterspawner2026</x:v>
      </x:c>
      <x:c r="C15" s="20" t="str">
        <x:v>Included</x:v>
      </x:c>
      <x:c r="D15" s="20" t="str">
        <x:v>Operational / technical guidance</x:v>
      </x:c>
      <x:c r="E15" s="20" t="str">
        <x:v>Official project documentation used for controlled spawning of user notebook environments.</x:v>
      </x:c>
      <x:c r="F15" s="20" t="str">
        <x:v>No rejected-source record is asserted; manuscript reports only the retained evidence base.</x:v>
      </x:c>
    </x:row>
    <x:row r="16">
      <x:c r="A16" s="20" t="str">
        <x:v>S13</x:v>
      </x:c>
      <x:c r="B16" s="20" t="str">
        <x:v>march1995design</x:v>
      </x:c>
      <x:c r="C16" s="20" t="str">
        <x:v>Included</x:v>
      </x:c>
      <x:c r="D16" s="20" t="str">
        <x:v>Scholarly</x:v>
      </x:c>
      <x:c r="E16" s="20" t="str">
        <x:v>Peer-reviewed methodological source for design-science artifacts and evaluation.</x:v>
      </x:c>
      <x:c r="F16" s="20" t="str">
        <x:v>No rejected-source record is asserted; manuscript reports only the retained evidence base.</x:v>
      </x:c>
    </x:row>
    <x:row r="17">
      <x:c r="A17" s="20" t="str">
        <x:v>S14</x:v>
      </x:c>
      <x:c r="B17" s="20" t="str">
        <x:v>mlflowregistry2026</x:v>
      </x:c>
      <x:c r="C17" s="20" t="str">
        <x:v>Included</x:v>
      </x:c>
      <x:c r="D17" s="20" t="str">
        <x:v>Operational / technical guidance</x:v>
      </x:c>
      <x:c r="E17" s="20" t="str">
        <x:v>Official project documentation used to support model versioning, metadata, aliases, and promotion paths.</x:v>
      </x:c>
      <x:c r="F17" s="20" t="str">
        <x:v>No rejected-source record is asserted; manuscript reports only the retained evidence base.</x:v>
      </x:c>
    </x:row>
    <x:row r="18">
      <x:c r="A18" s="20" t="str">
        <x:v>S15</x:v>
      </x:c>
      <x:c r="B18" s="20" t="str">
        <x:v>mullen2019mooc</x:v>
      </x:c>
      <x:c r="C18" s="20" t="str">
        <x:v>Included</x:v>
      </x:c>
      <x:c r="D18" s="20" t="str">
        <x:v>Scholarly</x:v>
      </x:c>
      <x:c r="E18" s="20" t="str">
        <x:v>Peer-reviewed evidence used for scalable HPC education, accessibility, and skills development.</x:v>
      </x:c>
      <x:c r="F18" s="20" t="str">
        <x:v>No rejected-source record is asserted; manuscript reports only the retained evidence base.</x:v>
      </x:c>
    </x:row>
    <x:row r="19">
      <x:c r="A19" s="20" t="str">
        <x:v>S16</x:v>
      </x:c>
      <x:c r="B19" s="20" t="str">
        <x:v>nerscbestpractices2026</x:v>
      </x:c>
      <x:c r="C19" s="20" t="str">
        <x:v>Included</x:v>
      </x:c>
      <x:c r="D19" s="20" t="str">
        <x:v>Operational / technical guidance</x:v>
      </x:c>
      <x:c r="E19" s="20" t="str">
        <x:v>Established national research-computing guidance used for job practice and service/storage discipline.</x:v>
      </x:c>
      <x:c r="F19" s="20" t="str">
        <x:v>No rejected-source record is asserted; manuscript reports only the retained evidence base.</x:v>
      </x:c>
    </x:row>
    <x:row r="20">
      <x:c r="A20" s="20" t="str">
        <x:v>S17</x:v>
      </x:c>
      <x:c r="B20" s="20" t="str">
        <x:v>nersclustre2026</x:v>
      </x:c>
      <x:c r="C20" s="20" t="str">
        <x:v>Included</x:v>
      </x:c>
      <x:c r="D20" s="20" t="str">
        <x:v>Operational / technical guidance</x:v>
      </x:c>
      <x:c r="E20" s="20" t="str">
        <x:v>Established national research-computing guidance used for high-performance storage behavior and I/O.</x:v>
      </x:c>
      <x:c r="F20" s="20" t="str">
        <x:v>No rejected-source record is asserted; manuscript reports only the retained evidence base.</x:v>
      </x:c>
    </x:row>
    <x:row r="21">
      <x:c r="A21" s="20" t="str">
        <x:v>S18</x:v>
      </x:c>
      <x:c r="B21" s="20" t="str">
        <x:v>nvidiasuperpod2025</x:v>
      </x:c>
      <x:c r="C21" s="20" t="str">
        <x:v>Included</x:v>
      </x:c>
      <x:c r="D21" s="20" t="str">
        <x:v>Operational / technical guidance</x:v>
      </x:c>
      <x:c r="E21" s="20" t="str">
        <x:v>Infrastructure-provider reference architecture used for compute/storage fabrics, management networks, power, cooling, and OOB design.</x:v>
      </x:c>
      <x:c r="F21" s="20" t="str">
        <x:v>No rejected-source record is asserted; manuscript reports only the retained evidence base.</x:v>
      </x:c>
    </x:row>
    <x:row r="22">
      <x:c r="A22" s="20" t="str">
        <x:v>S19</x:v>
      </x:c>
      <x:c r="B22" s="20" t="str">
        <x:v>oodhome2026</x:v>
      </x:c>
      <x:c r="C22" s="20" t="str">
        <x:v>Included</x:v>
      </x:c>
      <x:c r="D22" s="20" t="str">
        <x:v>Operational / technical guidance</x:v>
      </x:c>
      <x:c r="E22" s="20" t="str">
        <x:v>Official project source used to support browser-based HPC access.</x:v>
      </x:c>
      <x:c r="F22" s="20" t="str">
        <x:v>No rejected-source record is asserted; manuscript reports only the retained evidence base.</x:v>
      </x:c>
    </x:row>
    <x:row r="23">
      <x:c r="A23" s="20" t="str">
        <x:v>S20</x:v>
      </x:c>
      <x:c r="B23" s="20" t="str">
        <x:v>oodjobcomposer2026</x:v>
      </x:c>
      <x:c r="C23" s="20" t="str">
        <x:v>Included</x:v>
      </x:c>
      <x:c r="D23" s="20" t="str">
        <x:v>Operational / technical guidance</x:v>
      </x:c>
      <x:c r="E23" s="20" t="str">
        <x:v>Established research-computing documentation used for browser-based job submission workflows.</x:v>
      </x:c>
      <x:c r="F23" s="20" t="str">
        <x:v>No rejected-source record is asserted; manuscript reports only the retained evidence base.</x:v>
      </x:c>
    </x:row>
    <x:row r="24">
      <x:c r="A24" s="20" t="str">
        <x:v>S21</x:v>
      </x:c>
      <x:c r="B24" s="20" t="str">
        <x:v>openhpcv402025</x:v>
      </x:c>
      <x:c r="C24" s="20" t="str">
        <x:v>Included</x:v>
      </x:c>
      <x:c r="D24" s="20" t="str">
        <x:v>Operational / technical guidance</x:v>
      </x:c>
      <x:c r="E24" s="20" t="str">
        <x:v>Official OpenHPC release information used for provisioning and deployment evolution.</x:v>
      </x:c>
      <x:c r="F24" s="20" t="str">
        <x:v>No rejected-source record is asserted; manuscript reports only the retained evidence base.</x:v>
      </x:c>
    </x:row>
    <x:row r="25">
      <x:c r="A25" s="20" t="str">
        <x:v>S22</x:v>
      </x:c>
      <x:c r="B25" s="20" t="str">
        <x:v>openhpcdownloads2026</x:v>
      </x:c>
      <x:c r="C25" s="20" t="str">
        <x:v>Included</x:v>
      </x:c>
      <x:c r="D25" s="20" t="str">
        <x:v>Operational / technical guidance</x:v>
      </x:c>
      <x:c r="E25" s="20" t="str">
        <x:v>Official installation recipes used for repeatable HPC provisioning, compilers, libraries, and Slurm-based deployment.</x:v>
      </x:c>
      <x:c r="F25" s="20" t="str">
        <x:v>No rejected-source record is asserted; manuscript reports only the retained evidence base.</x:v>
      </x:c>
    </x:row>
    <x:row r="26">
      <x:c r="A26" s="20" t="str">
        <x:v>S23</x:v>
      </x:c>
      <x:c r="B26" s="20" t="str">
        <x:v>openhpcv352026</x:v>
      </x:c>
      <x:c r="C26" s="20" t="str">
        <x:v>Included</x:v>
      </x:c>
      <x:c r="D26" s="20" t="str">
        <x:v>Operational / technical guidance</x:v>
      </x:c>
      <x:c r="E26" s="20" t="str">
        <x:v>Official OpenHPC release information used for modular provisioning and software-stack modernization.</x:v>
      </x:c>
      <x:c r="F26" s="20" t="str">
        <x:v>No rejected-source record is asserted; manuscript reports only the retained evidence base.</x:v>
      </x:c>
    </x:row>
    <x:row r="27">
      <x:c r="A27" s="20" t="str">
        <x:v>S24</x:v>
      </x:c>
      <x:c r="B27" s="20" t="str">
        <x:v>peffers2007dsrm</x:v>
      </x:c>
      <x:c r="C27" s="20" t="str">
        <x:v>Included</x:v>
      </x:c>
      <x:c r="D27" s="20" t="str">
        <x:v>Scholarly</x:v>
      </x:c>
      <x:c r="E27" s="20" t="str">
        <x:v>Peer-reviewed methodological source used for the six-step artifact construction process and evaluation logic.</x:v>
      </x:c>
      <x:c r="F27" s="20" t="str">
        <x:v>No rejected-source record is asserted; manuscript reports only the retained evidence base.</x:v>
      </x:c>
    </x:row>
    <x:row r="28">
      <x:c r="A28" s="20" t="str">
        <x:v>S25</x:v>
      </x:c>
      <x:c r="B28" s="20" t="str">
        <x:v>princetonondemand2026</x:v>
      </x:c>
      <x:c r="C28" s="20" t="str">
        <x:v>Included</x:v>
      </x:c>
      <x:c r="D28" s="20" t="str">
        <x:v>Operational / technical guidance</x:v>
      </x:c>
      <x:c r="E28" s="20" t="str">
        <x:v>Established university research-computing documentation used for browser-based portal access.</x:v>
      </x:c>
      <x:c r="F28" s="20" t="str">
        <x:v>No rejected-source record is asserted; manuscript reports only the retained evidence base.</x:v>
      </x:c>
    </x:row>
    <x:row r="29">
      <x:c r="A29" s="20" t="str">
        <x:v>S26</x:v>
      </x:c>
      <x:c r="B29" s="20" t="str">
        <x:v>princetonstorage2026</x:v>
      </x:c>
      <x:c r="C29" s="20" t="str">
        <x:v>Included</x:v>
      </x:c>
      <x:c r="D29" s="20" t="str">
        <x:v>Operational / technical guidance</x:v>
      </x:c>
      <x:c r="E29" s="20" t="str">
        <x:v>Established university research-computing guidance used for separating persistent and temporary storage.</x:v>
      </x:c>
      <x:c r="F29" s="20" t="str">
        <x:v>No rejected-source record is asserted; manuscript reports only the retained evidence base.</x:v>
      </x:c>
    </x:row>
    <x:row r="30">
      <x:c r="A30" s="20" t="str">
        <x:v>S27</x:v>
      </x:c>
      <x:c r="B30" s="20" t="str">
        <x:v>princetonscratch2026</x:v>
      </x:c>
      <x:c r="C30" s="20" t="str">
        <x:v>Included</x:v>
      </x:c>
      <x:c r="D30" s="20" t="str">
        <x:v>Operational / technical guidance</x:v>
      </x:c>
      <x:c r="E30" s="20" t="str">
        <x:v>Established university research-computing guidance used for temporary scratch-storage practice.</x:v>
      </x:c>
      <x:c r="F30" s="20" t="str">
        <x:v>No rejected-source record is asserted; manuscript reports only the retained evidence base.</x:v>
      </x:c>
    </x:row>
    <x:row r="31">
      <x:c r="A31" s="20" t="str">
        <x:v>S28</x:v>
      </x:c>
      <x:c r="B31" s="20" t="str">
        <x:v>slurmtopology2026</x:v>
      </x:c>
      <x:c r="C31" s="20" t="str">
        <x:v>Included</x:v>
      </x:c>
      <x:c r="D31" s="20" t="str">
        <x:v>Operational / technical guidance</x:v>
      </x:c>
      <x:c r="E31" s="20" t="str">
        <x:v>Official scheduler-maintainer guidance used for topology-aware scheduling and operational design.</x:v>
      </x:c>
      <x:c r="F31" s="20" t="str">
        <x:v>No rejected-source record is asserted; manuscript reports only the retained evidence base.</x:v>
      </x:c>
    </x:row>
    <x:row r="32">
      <x:c r="A32" s="20" t="str">
        <x:v>S29</x:v>
      </x:c>
      <x:c r="B32" s="20" t="str">
        <x:v>slurmqos2026</x:v>
      </x:c>
      <x:c r="C32" s="20" t="str">
        <x:v>Included</x:v>
      </x:c>
      <x:c r="D32" s="20" t="str">
        <x:v>Operational / technical guidance</x:v>
      </x:c>
      <x:c r="E32" s="20" t="str">
        <x:v>Official scheduler-maintainer guidance used for differentiated service classes and queue discipline.</x:v>
      </x:c>
      <x:c r="F32" s="20" t="str">
        <x:v>No rejected-source record is asserted; manuscript reports only the retained evidence base.</x:v>
      </x:c>
    </x:row>
    <x:row r="33">
      <x:c r="A33" s="20" t="str">
        <x:v>S30</x:v>
      </x:c>
      <x:c r="B33" s="20" t="str">
        <x:v>smith2024value</x:v>
      </x:c>
      <x:c r="C33" s="20" t="str">
        <x:v>Included</x:v>
      </x:c>
      <x:c r="D33" s="20" t="str">
        <x:v>Scholarly</x:v>
      </x:c>
      <x:c r="E33" s="20" t="str">
        <x:v>Peer-reviewed source cited for institutional productivity and campus-HPC value.</x:v>
      </x:c>
      <x:c r="F33" s="20" t="str">
        <x:v>No rejected-source record is asserted; manuscript reports only the retained evidence base.</x:v>
      </x:c>
    </x:row>
    <x:row r="34">
      <x:c r="A34" s="20" t="str">
        <x:v>S31</x:v>
      </x:c>
      <x:c r="B34" s="20" t="str">
        <x:v>stanfordsherlock2026</x:v>
      </x:c>
      <x:c r="C34" s="20" t="str">
        <x:v>Included</x:v>
      </x:c>
      <x:c r="D34" s="20" t="str">
        <x:v>Operational / technical guidance</x:v>
      </x:c>
      <x:c r="E34" s="20" t="str">
        <x:v>Established university research-computing service documentation used for operating and sustainability practices, including condominium-style participation.</x:v>
      </x:c>
      <x:c r="F34" s="20" t="str">
        <x:v>No rejected-source record is asserted; manuscript reports only the retained evidence base.</x:v>
      </x:c>
    </x:row>
    <x:row r="35">
      <x:c r="A35" s="20" t="str">
        <x:v>S32</x:v>
      </x:c>
      <x:c r="B35" s="20" t="str">
        <x:v>stanfordstorage2026</x:v>
      </x:c>
      <x:c r="C35" s="20" t="str">
        <x:v>Included</x:v>
      </x:c>
      <x:c r="D35" s="20" t="str">
        <x:v>Operational / technical guidance</x:v>
      </x:c>
      <x:c r="E35" s="20" t="str">
        <x:v>Established university research-computing guidance used for home/group/scratch/long-term storage separation.</x:v>
      </x:c>
      <x:c r="F35" s="20" t="str">
        <x:v>No rejected-source record is asserted; manuscript reports only the retained evidence base.</x:v>
      </x:c>
    </x:row>
    <x:row r="36">
      <x:c r="A36" s="20" t="str">
        <x:v>S33</x:v>
      </x:c>
      <x:c r="B36" s="20" t="str">
        <x:v>nsfccstar2024</x:v>
      </x:c>
      <x:c r="C36" s="20" t="str">
        <x:v>Included</x:v>
      </x:c>
      <x:c r="D36" s="20" t="str">
        <x:v>Operational / policy guidance</x:v>
      </x:c>
      <x:c r="E36" s="20" t="str">
        <x:v>National funding-agency guidance used to support science-driven, integrated cyberinfrastructure and workforce development.</x:v>
      </x:c>
      <x:c r="F36" s="20" t="str">
        <x:v>No rejected-source record is asserted; manuscript reports only the retained evidence base.</x:v>
      </x:c>
    </x:row>
    <x:row r="37">
      <x:c r="A37" s="20" t="str">
        <x:v>S34</x:v>
      </x:c>
      <x:c r="B37" s="20" t="str">
        <x:v>weidner2017rethinking</x:v>
      </x:c>
      <x:c r="C37" s="20" t="str">
        <x:v>Included</x:v>
      </x:c>
      <x:c r="D37" s="20" t="str">
        <x:v>Scholarly</x:v>
      </x:c>
      <x:c r="E37" s="20" t="str">
        <x:v>Peer-reviewed source used to support heterogeneous research-computing platforms and mixed workflow requirements.</x:v>
      </x:c>
      <x:c r="F37" s="20" t="str">
        <x:v>No rejected-source record is asserted; manuscript reports only the retained evidence base.</x:v>
      </x:c>
    </x:row>
    <x:row r="38">
      <x:c r="A38" s="20" t="str">
        <x:v>S35</x:v>
      </x:c>
      <x:c r="B38" s="20" t="str">
        <x:v>wissema2009third</x:v>
      </x:c>
      <x:c r="C38" s="20" t="str">
        <x:v>Included</x:v>
      </x:c>
      <x:c r="D38" s="20" t="str">
        <x:v>Scholarly</x:v>
      </x:c>
      <x:c r="E38" s="20" t="str">
        <x:v>Foundational scholarly source used to define the third-generation university and mission alignment.</x:v>
      </x:c>
      <x:c r="F38" s="20" t="str">
        <x:v>No rejected-source record is asserted; manuscript reports only the retained evidence base.</x:v>
      </x:c>
    </x:row>
    <x:row r="40" ht="34" customHeight="1">
      <x:c r="A40" s="24" t="str">
        <x:v>The targeted/iterative evidence-synthesis process did not claim a PRISMA-style candidate-source count. This sheet documents eligibility rationale for retained sources only.</x:v>
      </x:c>
      <x:c r="B40" s="24"/>
      <x:c r="C40" s="24"/>
      <x:c r="D40" s="24"/>
      <x:c r="E40" s="24"/>
      <x:c r="F40" s="24"/>
    </x:row>
  </x:sheetData>
  <x:mergeCells>
    <x:mergeCell ref="A1:F1"/>
    <x:mergeCell ref="A40:F4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68" hidden="0" customWidth="1"/>
    <x:col min="4" max="4" width="36" hidden="0" customWidth="1"/>
    <x:col min="5" max="5" width="68" hidden="0" customWidth="1"/>
    <x:col min="6" max="6" width="50" hidden="0" customWidth="1"/>
  </x:cols>
  <x:sheetData>
    <x:row r="1" ht="28" customHeight="1">
      <x:c r="A1" s="4" t="str">
        <x:v>Requirement Extraction Matrix</x:v>
      </x:c>
      <x:c r="B1" s="4"/>
      <x:c r="C1" s="4"/>
      <x:c r="D1" s="4"/>
      <x:c r="E1" s="4"/>
      <x:c r="F1" s="4"/>
    </x:row>
    <x:row r="3">
      <x:c r="A3" s="12" t="str">
        <x:v>Requirement_ID</x:v>
      </x:c>
      <x:c r="B3" s="12" t="str">
        <x:v>Requirement_Category</x:v>
      </x:c>
      <x:c r="C3" s="12" t="str">
        <x:v>Extracted_Requirement</x:v>
      </x:c>
      <x:c r="D3" s="12" t="str">
        <x:v>Framework_Component</x:v>
      </x:c>
      <x:c r="E3" s="12" t="str">
        <x:v>Implementation_Implication</x:v>
      </x:c>
      <x:c r="F3" s="12" t="str">
        <x:v>Supporting_Citation_Keys</x:v>
      </x:c>
    </x:row>
    <x:row r="4">
      <x:c r="A4" s="20" t="str">
        <x:v>REQ-01</x:v>
      </x:c>
      <x:c r="B4" s="20" t="str">
        <x:v>physical architecture</x:v>
      </x:c>
      <x:c r="C4" s="20" t="str">
        <x:v>Provide heterogeneous CPU and GPU compute pools together with dedicated login and management services.</x:v>
      </x:c>
      <x:c r="D4" s="20" t="str">
        <x:v>Physical HPC infrastructure</x:v>
      </x:c>
      <x:c r="E4" s="20" t="str">
        <x:v>Support general scientific workloads and accelerated/AI workloads without using login nodes for production compute.</x:v>
      </x:c>
      <x:c r="F4" s="20" t="str">
        <x:v>nvidiasuperpod2025; weidner2017rethinking</x:v>
      </x:c>
    </x:row>
    <x:row r="5">
      <x:c r="A5" s="20" t="str">
        <x:v>REQ-02</x:v>
      </x:c>
      <x:c r="B5" s="20" t="str">
        <x:v>storage tiering</x:v>
      </x:c>
      <x:c r="C5" s="20" t="str">
        <x:v>Separate high-performance temporary work storage from persistent project or archival storage.</x:v>
      </x:c>
      <x:c r="D5" s="20" t="str">
        <x:v>Physical HPC infrastructure</x:v>
      </x:c>
      <x:c r="E5" s="20" t="str">
        <x:v>Provision storage by performance, persistence, and governance function rather than as one undifferentiated capacity pool.</x:v>
      </x:c>
      <x:c r="F5" s="20" t="str">
        <x:v>stanfordstorage2026; princetonstorage2026; nersclustre2026</x:v>
      </x:c>
    </x:row>
    <x:row r="6">
      <x:c r="A6" s="20" t="str">
        <x:v>REQ-03</x:v>
      </x:c>
      <x:c r="B6" s="20" t="str">
        <x:v>physical architecture / monitoring</x:v>
      </x:c>
      <x:c r="C6" s="20" t="str">
        <x:v>Provide independent out-of-band management.</x:v>
      </x:c>
      <x:c r="D6" s="20" t="str">
        <x:v>Physical HPC infrastructure</x:v>
      </x:c>
      <x:c r="E6" s="20" t="str">
        <x:v>Enable recovery, health monitoring, and fault isolation when in-band services are unavailable.</x:v>
      </x:c>
      <x:c r="F6" s="20" t="str">
        <x:v>nvidiasuperpod2025</x:v>
      </x:c>
    </x:row>
    <x:row r="7">
      <x:c r="A7" s="20" t="str">
        <x:v>REQ-04</x:v>
      </x:c>
      <x:c r="B7" s="20" t="str">
        <x:v>resource scheduling</x:v>
      </x:c>
      <x:c r="C7" s="20" t="str">
        <x:v>Use separate scheduler partitions for teaching, research, and priority/interactive workloads.</x:v>
      </x:c>
      <x:c r="D7" s="20" t="str">
        <x:v>System software &amp; resource management</x:v>
      </x:c>
      <x:c r="E7" s="20" t="str">
        <x:v>Prevent all workloads from competing in a single unstructured queue and protect scheduled teaching/interactive access.</x:v>
      </x:c>
      <x:c r="F7" s="20" t="str">
        <x:v>slurmqos2026; slurmtopology2026</x:v>
      </x:c>
    </x:row>
    <x:row r="8">
      <x:c r="A8" s="20" t="str">
        <x:v>REQ-05</x:v>
      </x:c>
      <x:c r="B8" s="20" t="str">
        <x:v>resource scheduling / governance</x:v>
      </x:c>
      <x:c r="C8" s="20" t="str">
        <x:v>Use QoS classes to express queue discipline and differentiated service.</x:v>
      </x:c>
      <x:c r="D8" s="20" t="str">
        <x:v>System software &amp; resource management</x:v>
      </x:c>
      <x:c r="E8" s="20" t="str">
        <x:v>Encode limits, priorities, and service classes for different institutional workloads.</x:v>
      </x:c>
      <x:c r="F8" s="20" t="str">
        <x:v>slurmqos2026</x:v>
      </x:c>
    </x:row>
    <x:row r="9">
      <x:c r="A9" s="20" t="str">
        <x:v>REQ-06</x:v>
      </x:c>
      <x:c r="B9" s="20" t="str">
        <x:v>monitoring / governance</x:v>
      </x:c>
      <x:c r="C9" s="20" t="str">
        <x:v>Retain scheduler accounting data.</x:v>
      </x:c>
      <x:c r="D9" s="20" t="str">
        <x:v>System software &amp; resource management</x:v>
      </x:c>
      <x:c r="E9" s="20" t="str">
        <x:v>Use job/accounting history for capacity planning, governance review, and possible recharge models.</x:v>
      </x:c>
      <x:c r="F9" s="20" t="str">
        <x:v>slurmqos2026</x:v>
      </x:c>
    </x:row>
    <x:row r="10">
      <x:c r="A10" s="20" t="str">
        <x:v>REQ-07</x:v>
      </x:c>
      <x:c r="B10" s="20" t="str">
        <x:v>reproducibility / security</x:v>
      </x:c>
      <x:c r="C10" s="20" t="str">
        <x:v>Provide container support suitable for shared HPC, including user-context execution and image controls.</x:v>
      </x:c>
      <x:c r="D10" s="20" t="str">
        <x:v>System software &amp; resource management</x:v>
      </x:c>
      <x:c r="E10" s="20" t="str">
        <x:v>Use approved container workflows to improve reproducibility while maintaining shared-system security.</x:v>
      </x:c>
      <x:c r="F10" s="20" t="str">
        <x:v>apptainersecurity2026; apptainersign2026</x:v>
      </x:c>
    </x:row>
    <x:row r="11">
      <x:c r="A11" s="20" t="str">
        <x:v>REQ-08</x:v>
      </x:c>
      <x:c r="B11" s="20" t="str">
        <x:v>reproducibility</x:v>
      </x:c>
      <x:c r="C11" s="20" t="str">
        <x:v>Expose versioned software environments using modules and managed package stacks.</x:v>
      </x:c>
      <x:c r="D11" s="20" t="str">
        <x:v>System software &amp; resource management</x:v>
      </x:c>
      <x:c r="E11" s="20" t="str">
        <x:v>Allow multiple compiler/MPI/library stacks to coexist and reduce configuration drift.</x:v>
      </x:c>
      <x:c r="F11" s="20" t="str">
        <x:v>openhpcdownloads2026</x:v>
      </x:c>
    </x:row>
    <x:row r="12">
      <x:c r="A12" s="20" t="str">
        <x:v>REQ-09</x:v>
      </x:c>
      <x:c r="B12" s="20" t="str">
        <x:v>monitoring</x:v>
      </x:c>
      <x:c r="C12" s="20" t="str">
        <x:v>Monitor job telemetry, filesystem usage, queue states, and environment health.</x:v>
      </x:c>
      <x:c r="D12" s="20" t="str">
        <x:v>System software &amp; resource management</x:v>
      </x:c>
      <x:c r="E12" s="20" t="str">
        <x:v>Make scaling, troubleshooting, and governance evidence-based.</x:v>
      </x:c>
      <x:c r="F12" s="20" t="str">
        <x:v>slurmtopology2026; nvidiasuperpod2025</x:v>
      </x:c>
    </x:row>
    <x:row r="13">
      <x:c r="A13" s="20" t="str">
        <x:v>REQ-10</x:v>
      </x:c>
      <x:c r="B13" s="20" t="str">
        <x:v>user access / pedagogy</x:v>
      </x:c>
      <x:c r="C13" s="20" t="str">
        <x:v>Provide browser-based notebook access for students and researchers who should not be required to begin with shell-only workflows.</x:v>
      </x:c>
      <x:c r="D13" s="20" t="str">
        <x:v>AI &amp; data platform</x:v>
      </x:c>
      <x:c r="E13" s="20" t="str">
        <x:v>Lower the entry barrier while preserving governed access to shared resources.</x:v>
      </x:c>
      <x:c r="F13" s="20" t="str">
        <x:v>jupyterhub2026; oodhome2026; princetonondemand2026</x:v>
      </x:c>
    </x:row>
    <x:row r="14">
      <x:c r="A14" s="20" t="str">
        <x:v>REQ-11</x:v>
      </x:c>
      <x:c r="B14" s="20" t="str">
        <x:v>user access / resource scheduling</x:v>
      </x:c>
      <x:c r="C14" s="20" t="str">
        <x:v>Keep interactive notebook use distinct from production jobs.</x:v>
      </x:c>
      <x:c r="D14" s="20" t="str">
        <x:v>AI &amp; data platform</x:v>
      </x:c>
      <x:c r="E14" s="20" t="str">
        <x:v>Route long-running or production workloads through scheduler-controlled resources instead of unmanaged notebook sessions.</x:v>
      </x:c>
      <x:c r="F14" s="20" t="str">
        <x:v>ethjupyter2026</x:v>
      </x:c>
    </x:row>
    <x:row r="15">
      <x:c r="A15" s="20" t="str">
        <x:v>REQ-12</x:v>
      </x:c>
      <x:c r="B15" s="20" t="str">
        <x:v>reproducibility / model lifecycle</x:v>
      </x:c>
      <x:c r="C15" s="20" t="str">
        <x:v>Provide versioned model-registry capability for AI workflows.</x:v>
      </x:c>
      <x:c r="D15" s="20" t="str">
        <x:v>AI &amp; data platform</x:v>
      </x:c>
      <x:c r="E15" s="20" t="str">
        <x:v>Track model versions, metadata, aliases, and promotion paths from experiments to registered artifacts.</x:v>
      </x:c>
      <x:c r="F15" s="20" t="str">
        <x:v>mlflowregistry2026</x:v>
      </x:c>
    </x:row>
    <x:row r="16">
      <x:c r="A16" s="20" t="str">
        <x:v>REQ-13</x:v>
      </x:c>
      <x:c r="B16" s="20" t="str">
        <x:v>data movement / security</x:v>
      </x:c>
      <x:c r="C16" s="20" t="str">
        <x:v>Use mediated mechanisms for large research-data movement rather than ad hoc desktop transfer where possible.</x:v>
      </x:c>
      <x:c r="D16" s="20" t="str">
        <x:v>AI &amp; data platform</x:v>
      </x:c>
      <x:c r="E16" s="20" t="str">
        <x:v>Improve reliability and control of inter-system research-data transfer.</x:v>
      </x:c>
      <x:c r="F16" s="20" t="str">
        <x:v>globus2026</x:v>
      </x:c>
    </x:row>
    <x:row r="17">
      <x:c r="A17" s="20" t="str">
        <x:v>REQ-14</x:v>
      </x:c>
      <x:c r="B17" s="20" t="str">
        <x:v>pedagogy</x:v>
      </x:c>
      <x:c r="C17" s="20" t="str">
        <x:v>Offer teaching laboratories with templates, quota-bounded sessions, and assessment support.</x:v>
      </x:c>
      <x:c r="D17" s="20" t="str">
        <x:v>Institutional service layer</x:v>
      </x:c>
      <x:c r="E17" s="20" t="str">
        <x:v>Integrate the platform directly into course delivery and protect course capacity.</x:v>
      </x:c>
      <x:c r="F17" s="20" t="str">
        <x:v>mullen2019mooc; oodhome2026; jupyterhub2026</x:v>
      </x:c>
    </x:row>
    <x:row r="18">
      <x:c r="A18" s="20" t="str">
        <x:v>REQ-15</x:v>
      </x:c>
      <x:c r="B18" s="20" t="str">
        <x:v>research enablement</x:v>
      </x:c>
      <x:c r="C18" s="20" t="str">
        <x:v>Provide governed faculty research allocations with CPU/GPU/storage access, software support, and consultation.</x:v>
      </x:c>
      <x:c r="D18" s="20" t="str">
        <x:v>Institutional service layer</x:v>
      </x:c>
      <x:c r="E18" s="20" t="str">
        <x:v>Translate infrastructure capacity into a usable research-computing service.</x:v>
      </x:c>
      <x:c r="F18" s="20" t="str">
        <x:v>stanfordsherlock2026; weidner2017rethinking</x:v>
      </x:c>
    </x:row>
    <x:row r="19">
      <x:c r="A19" s="20" t="str">
        <x:v>REQ-16</x:v>
      </x:c>
      <x:c r="B19" s="20" t="str">
        <x:v>external-project support / governance</x:v>
      </x:c>
      <x:c r="C19" s="20" t="str">
        <x:v>Create formal external-partner project workflows with data-use agreements, access approval, costing, and segregated workspaces.</x:v>
      </x:c>
      <x:c r="D19" s="20" t="str">
        <x:v>Institutional service layer</x:v>
      </x:c>
      <x:c r="E19" s="20" t="str">
        <x:v>Avoid informal mixing of external work with internal research queues and reduce security/costing ambiguity.</x:v>
      </x:c>
      <x:c r="F19" s="20" t="str">
        <x:v>etzkowitz2003triple; nsfccstar2024</x:v>
      </x:c>
    </x:row>
    <x:row r="20">
      <x:c r="A20" s="20" t="str">
        <x:v>REQ-17</x:v>
      </x:c>
      <x:c r="B20" s="20" t="str">
        <x:v>innovation support</x:v>
      </x:c>
      <x:c r="C20" s="20" t="str">
        <x:v>Provide a pathway for proof-of-concept work to move toward validation and technology-transfer/incubator handoff.</x:v>
      </x:c>
      <x:c r="D20" s="20" t="str">
        <x:v>Institutional service layer</x:v>
      </x:c>
      <x:c r="E20" s="20" t="str">
        <x:v>Connect technical platform use with third-generation university innovation and translation functions.</x:v>
      </x:c>
      <x:c r="F20" s="20" t="str">
        <x:v>wissema2009third; etzkowitz2003triple; feola2021entrepreneurial</x:v>
      </x:c>
    </x:row>
    <x:row r="21">
      <x:c r="A21" s="20" t="str">
        <x:v>REQ-18</x:v>
      </x:c>
      <x:c r="B21" s="20" t="str">
        <x:v>governance / readiness</x:v>
      </x:c>
      <x:c r="C21" s="20" t="str">
        <x:v>Complete workload, facilities, cybersecurity, network, software-policy, and staffing assessment before procurement.</x:v>
      </x:c>
      <x:c r="D21" s="20" t="str">
        <x:v>Phase 1: institutional readiness</x:v>
      </x:c>
      <x:c r="E21" s="20" t="str">
        <x:v>Make procurement science/demand driven rather than hardware-first.</x:v>
      </x:c>
      <x:c r="F21" s="20" t="str">
        <x:v>nsfccstar2024</x:v>
      </x:c>
    </x:row>
    <x:row r="22">
      <x:c r="A22" s="20" t="str">
        <x:v>REQ-19</x:v>
      </x:c>
      <x:c r="B22" s="20" t="str">
        <x:v>pedagogy / storage tiering</x:v>
      </x:c>
      <x:c r="C22" s="20" t="str">
        <x:v>Teach storage policy explicitly during teaching and research integration.</x:v>
      </x:c>
      <x:c r="D22" s="20" t="str">
        <x:v>Phase 3: teaching and research integration</x:v>
      </x:c>
      <x:c r="E22" s="20" t="str">
        <x:v>Help users distinguish persistent code/project space from temporary high-performance job I/O.</x:v>
      </x:c>
      <x:c r="F22" s="20" t="str">
        <x:v>stanfordstorage2026; princetonstorage2026; nerscbestpractices2026</x:v>
      </x:c>
    </x:row>
    <x:row r="23">
      <x:c r="A23" s="20" t="str">
        <x:v>REQ-20</x:v>
      </x:c>
      <x:c r="B23" s="20" t="str">
        <x:v>external-project support / sustainability</x:v>
      </x:c>
      <x:c r="C23" s="20" t="str">
        <x:v>Define project collaboration workflows, data classifications, approval chains, cost-recovery rules, and retention/sunset policies before external-service enablement.</x:v>
      </x:c>
      <x:c r="D23" s="20" t="str">
        <x:v>Phase 4: external service enablement</x:v>
      </x:c>
      <x:c r="E23" s="20" t="str">
        <x:v>Provide a governed service boundary for external projects.</x:v>
      </x:c>
      <x:c r="F23" s="20" t="str">
        <x:v>nsfccstar2024; stanfordsherlock2026</x:v>
      </x:c>
    </x:row>
    <x:row r="24">
      <x:c r="A24" s="20" t="str">
        <x:v>REQ-21</x:v>
      </x:c>
      <x:c r="B24" s="20" t="str">
        <x:v>sustainability</x:v>
      </x:c>
      <x:c r="C24" s="20" t="str">
        <x:v>Use utilization analytics, periodic refresh planning, training, and stable budget mechanisms during scale-out.</x:v>
      </x:c>
      <x:c r="D24" s="20" t="str">
        <x:v>Phase 5: scale-out and sustainability</x:v>
      </x:c>
      <x:c r="E24" s="20" t="str">
        <x:v>Treat durable operating capability and workforce development as part of infrastructure sustainability.</x:v>
      </x:c>
      <x:c r="F24" s="20" t="str">
        <x:v>stanfordsherlock2026; nsfccstar2024</x:v>
      </x:c>
    </x:row>
    <x:row r="25">
      <x:c r="A25" s="20" t="str">
        <x:v>REQ-22</x:v>
      </x:c>
      <x:c r="B25" s="20" t="str">
        <x:v>identity and security</x:v>
      </x:c>
      <x:c r="C25" s="20" t="str">
        <x:v>Integrate identity/access management and apply role/project-based controls; use MFA where appropriate.</x:v>
      </x:c>
      <x:c r="D25" s="20" t="str">
        <x:v>System software &amp; resource management / Governance</x:v>
      </x:c>
      <x:c r="E25" s="20" t="str">
        <x:v>Create auditable access boundaries for internal and external users.</x:v>
      </x:c>
      <x:c r="F25" s="20" t="str">
        <x:v>apptainersecurity2026; nsfccstar2024</x:v>
      </x:c>
    </x:row>
    <x:row r="26">
      <x:c r="A26" s="20" t="str">
        <x:v>REQ-23</x:v>
      </x:c>
      <x:c r="B26" s="20" t="str">
        <x:v>networking</x:v>
      </x:c>
      <x:c r="C26" s="20" t="str">
        <x:v>Separate compute fabric, storage fabric, in-band service/management access, and out-of-band management.</x:v>
      </x:c>
      <x:c r="D26" s="20" t="str">
        <x:v>Physical HPC infrastructure</x:v>
      </x:c>
      <x:c r="E26" s="20" t="str">
        <x:v>Avoid conflating distinct traffic and management functions in campus HPC design.</x:v>
      </x:c>
      <x:c r="F26" s="20" t="str">
        <x:v>nvidiasuperpod2025</x:v>
      </x:c>
    </x:row>
    <x:row r="27">
      <x:c r="A27" s="20" t="str">
        <x:v>REQ-24</x:v>
      </x:c>
      <x:c r="B27" s="20" t="str">
        <x:v>pedagogy / workforce development</x:v>
      </x:c>
      <x:c r="C27" s="20" t="str">
        <x:v>Provide onboarding, training materials, workshops, and scalable beginner pathways.</x:v>
      </x:c>
      <x:c r="D27" s="20" t="str">
        <x:v>Institutional service layer</x:v>
      </x:c>
      <x:c r="E27" s="20" t="str">
        <x:v>Broaden participation and reduce dependence on a small expert user group.</x:v>
      </x:c>
      <x:c r="F27" s="20" t="str">
        <x:v>mullen2019mooc; nsfccstar2024</x:v>
      </x:c>
    </x:row>
    <x:row r="28">
      <x:c r="A28" s="20" t="str">
        <x:v>REQ-25</x:v>
      </x:c>
      <x:c r="B28" s="20" t="str">
        <x:v>mission alignment</x:v>
      </x:c>
      <x:c r="C28" s="20" t="str">
        <x:v>Design the platform jointly for education, research, innovation, and external engagement.</x:v>
      </x:c>
      <x:c r="D28" s="20" t="str">
        <x:v>Cross-layer design principle</x:v>
      </x:c>
      <x:c r="E28" s="20" t="str">
        <x:v>Evaluate technical architecture and institutional operating arrangements together.</x:v>
      </x:c>
      <x:c r="F28" s="20" t="str">
        <x:v>wissema2009third; nsfccstar2024; clark1998entrepreneurial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2" hidden="0" customWidth="1"/>
    <x:col min="4" max="4" width="52" hidden="0" customWidth="1"/>
    <x:col min="5" max="5" width="68" hidden="0" customWidth="1"/>
  </x:cols>
  <x:sheetData>
    <x:row r="1" ht="28" customHeight="1">
      <x:c r="A1" s="4" t="str">
        <x:v>Authoritative-Source Conformance Matrix</x:v>
      </x:c>
      <x:c r="B1" s="4"/>
      <x:c r="C1" s="4"/>
      <x:c r="D1" s="4"/>
      <x:c r="E1" s="4"/>
    </x:row>
    <x:row r="3">
      <x:c r="A3" s="12" t="str">
        <x:v>Evaluation_Criterion</x:v>
      </x:c>
      <x:c r="B3" s="12" t="str">
        <x:v>Framework_Element</x:v>
      </x:c>
      <x:c r="C3" s="12" t="str">
        <x:v>Supporting_Guidance</x:v>
      </x:c>
      <x:c r="D3" s="12" t="str">
        <x:v>Supporting_Citation_Keys</x:v>
      </x:c>
      <x:c r="E3" s="12" t="str">
        <x:v>Coverage_Within_Framework</x:v>
      </x:c>
    </x:row>
    <x:row r="4">
      <x:c r="A4" s="20" t="str">
        <x:v>Heterogeneous workloads</x:v>
      </x:c>
      <x:c r="B4" s="20" t="str">
        <x:v>CPU and GPU pools with batch, priority, teaching, and interactive partitions</x:v>
      </x:c>
      <x:c r="C4" s="20" t="str">
        <x:v>Slurm and ETH Zurich operational guidance</x:v>
      </x:c>
      <x:c r="D4" s="20" t="str">
        <x:v>slurmtopology2026; slurmqos2026; ethjupyter2026</x:v>
      </x:c>
      <x:c r="E4" s="20" t="str">
        <x:v>Supports simulation, AI workloads, batch processing, and time-bounded interactive sessions</x:v>
      </x:c>
    </x:row>
    <x:row r="5">
      <x:c r="A5" s="20" t="str">
        <x:v>Multi-tenant security</x:v>
      </x:c>
      <x:c r="B5" s="20" t="str">
        <x:v>IAM integration, project workspaces, user-context containers, and image controls</x:v>
      </x:c>
      <x:c r="C5" s="20" t="str">
        <x:v>Apptainer security and signing guidance</x:v>
      </x:c>
      <x:c r="D5" s="20" t="str">
        <x:v>apptainersecurity2026; apptainersign2026</x:v>
      </x:c>
      <x:c r="E5" s="20" t="str">
        <x:v>Supports controlled access, user-context execution, image integrity, and separation of project environments</x:v>
      </x:c>
    </x:row>
    <x:row r="6">
      <x:c r="A6" s="20" t="str">
        <x:v>Pedagogical accessibility</x:v>
      </x:c>
      <x:c r="B6" s="20" t="str">
        <x:v>Open OnDemand, JupyterHub, templates, quotas, and reserved teaching windows</x:v>
      </x:c>
      <x:c r="C6" s="20" t="str">
        <x:v>Open OnDemand and Project Jupyter guidance</x:v>
      </x:c>
      <x:c r="D6" s="20" t="str">
        <x:v>oodhome2026; oodjobcomposer2026; jupyterhub2026; jupyterspawner2026</x:v>
      </x:c>
      <x:c r="E6" s="20" t="str">
        <x:v>Provides browser-based access, guided workflows, and practical support for course-based use</x:v>
      </x:c>
    </x:row>
    <x:row r="7">
      <x:c r="A7" s="20" t="str">
        <x:v>Storage discipline</x:v>
      </x:c>
      <x:c r="B7" s="20" t="str">
        <x:v>Separate scratch, project, and archival storage tiers</x:v>
      </x:c>
      <x:c r="C7" s="20" t="str">
        <x:v>Stanford, Princeton, and NERSC operational guidance</x:v>
      </x:c>
      <x:c r="D7" s="20" t="str">
        <x:v>stanfordstorage2026; princetonstorage2026; nerscbestpractices2026; nersclustre2026</x:v>
      </x:c>
      <x:c r="E7" s="20" t="str">
        <x:v>Distinguishes temporary high-performance data from persistent project data and retained outputs</x:v>
      </x:c>
    </x:row>
    <x:row r="8">
      <x:c r="A8" s="20" t="str">
        <x:v>Scalability</x:v>
      </x:c>
      <x:c r="B8" s="20" t="str">
        <x:v>Modular provisioning and phased expansion of compute, storage, and services</x:v>
      </x:c>
      <x:c r="C8" s="20" t="str">
        <x:v>OpenHPC installation and provisioning guidance</x:v>
      </x:c>
      <x:c r="D8" s="20" t="str">
        <x:v>openhpcv402025; openhpcdownloads2026; openhpcv352026</x:v>
      </x:c>
      <x:c r="E8" s="20" t="str">
        <x:v>Allows the platform to grow from a minimum viable service to a broader institutional or regional facility</x:v>
      </x:c>
    </x:row>
    <x:row r="9">
      <x:c r="A9" s="20" t="str">
        <x:v>Operational observability</x:v>
      </x:c>
      <x:c r="B9" s="20" t="str">
        <x:v>Monitoring, job accounting, queue telemetry, and out-of-band management</x:v>
      </x:c>
      <x:c r="C9" s="20" t="str">
        <x:v>SchedMD and NVIDIA infrastructure guidance</x:v>
      </x:c>
      <x:c r="D9" s="20" t="str">
        <x:v>slurmtopology2026; nvidiasuperpod2025</x:v>
      </x:c>
      <x:c r="E9" s="20" t="str">
        <x:v>Supports utilization analysis, fault recovery, capacity planning, and periodic service review</x:v>
      </x:c>
    </x:row>
    <x:row r="10">
      <x:c r="A10" s="20" t="str">
        <x:v>Mission alignment</x:v>
      </x:c>
      <x:c r="B10" s="20" t="str">
        <x:v>Teaching, research, innovation, and external-project services</x:v>
      </x:c>
      <x:c r="C10" s="20" t="str">
        <x:v>Third-generation university literature and NSF campus cyberinfrastructure guidance</x:v>
      </x:c>
      <x:c r="D10" s="20" t="str">
        <x:v>wissema2009third; nsfccstar2024</x:v>
      </x:c>
      <x:c r="E10" s="20" t="str">
        <x:v>Connects technical infrastructure with education, research, workforce development, and external engagement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20" hidden="0" customWidth="1"/>
    <x:col min="5" max="5" width="72" hidden="0" customWidth="1"/>
  </x:cols>
  <x:sheetData>
    <x:row r="1" ht="28" customHeight="1">
      <x:c r="A1" s="4" t="str">
        <x:v>Sizing Assumptions Used in the Worked Examples</x:v>
      </x:c>
      <x:c r="B1" s="4"/>
      <x:c r="C1" s="4"/>
      <x:c r="D1" s="4"/>
      <x:c r="E1" s="4"/>
    </x:row>
    <x:row r="3">
      <x:c r="A3" s="12" t="str">
        <x:v>Parameter_Key</x:v>
      </x:c>
      <x:c r="B3" s="12" t="str">
        <x:v>Symbol</x:v>
      </x:c>
      <x:c r="C3" s="12" t="str">
        <x:v>Value</x:v>
      </x:c>
      <x:c r="D3" s="12" t="str">
        <x:v>Unit</x:v>
      </x:c>
      <x:c r="E3" s="12" t="str">
        <x:v>Source_Note</x:v>
      </x:c>
    </x:row>
    <x:row r="4">
      <x:c r="A4" s="20" t="str">
        <x:v>peak_factor</x:v>
      </x:c>
      <x:c r="B4" s="20" t="str">
        <x:v>phi</x:v>
      </x:c>
      <x:c r="C4" s="20" t="n">
        <x:v>1.25</x:v>
      </x:c>
      <x:c r="D4" s="20" t="str">
        <x:v>dimensionless</x:v>
      </x:c>
      <x:c r="E4" s="20" t="str">
        <x:v>Table 2 assumption; manuscript also gives a reasonable planning range of 1.15–1.35.</x:v>
      </x:c>
    </x:row>
    <x:row r="5">
      <x:c r="A5" s="20" t="str">
        <x:v>cpu_target_utilization</x:v>
      </x:c>
      <x:c r="B5" s="20" t="str">
        <x:v>eta_CPU</x:v>
      </x:c>
      <x:c r="C5" s="20" t="n">
        <x:v>0.7</x:v>
      </x:c>
      <x:c r="D5" s="20" t="str">
        <x:v>fraction</x:v>
      </x:c>
      <x:c r="E5" s="20" t="str">
        <x:v>Table 2 assumption and manuscript planning default.</x:v>
      </x:c>
    </x:row>
    <x:row r="6">
      <x:c r="A6" s="20" t="str">
        <x:v>gpu_target_utilization</x:v>
      </x:c>
      <x:c r="B6" s="20" t="str">
        <x:v>eta_GPU</x:v>
      </x:c>
      <x:c r="C6" s="20" t="n">
        <x:v>0.6</x:v>
      </x:c>
      <x:c r="D6" s="20" t="str">
        <x:v>fraction</x:v>
      </x:c>
      <x:c r="E6" s="20" t="str">
        <x:v>Table 2 assumption and manuscript planning default.</x:v>
      </x:c>
    </x:row>
    <x:row r="7">
      <x:c r="A7" s="20" t="str">
        <x:v>available_hours_per_month</x:v>
      </x:c>
      <x:c r="B7" s="20" t="str">
        <x:v>M</x:v>
      </x:c>
      <x:c r="C7" s="20" t="n">
        <x:v>720</x:v>
      </x:c>
      <x:c r="D7" s="20" t="str">
        <x:v>hours/month</x:v>
      </x:c>
      <x:c r="E7" s="20" t="str">
        <x:v>Table 2 assumption; manuscript describes 720 as typical.</x:v>
      </x:c>
    </x:row>
    <x:row r="8">
      <x:c r="A8" s="20" t="str">
        <x:v>cpu_cores_per_node</x:v>
      </x:c>
      <x:c r="B8" s="20" t="str">
        <x:v>C_node</x:v>
      </x:c>
      <x:c r="C8" s="20" t="n">
        <x:v>64</x:v>
      </x:c>
      <x:c r="D8" s="20" t="str">
        <x:v>CPU cores/node</x:v>
      </x:c>
      <x:c r="E8" s="20" t="str">
        <x:v>Table 2 assumption.</x:v>
      </x:c>
    </x:row>
    <x:row r="9">
      <x:c r="A9" s="20" t="str">
        <x:v>gpus_per_node</x:v>
      </x:c>
      <x:c r="B9" s="20" t="str">
        <x:v>G_node</x:v>
      </x:c>
      <x:c r="C9" s="20" t="n">
        <x:v>4</x:v>
      </x:c>
      <x:c r="D9" s="20" t="str">
        <x:v>GPUs/node</x:v>
      </x:c>
      <x:c r="E9" s="20" t="str">
        <x:v>Table 2 assumption.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6" hidden="0" customWidth="1"/>
    <x:col min="7" max="7" width="30" hidden="0" customWidth="1"/>
    <x:col min="8" max="8" width="24" hidden="0" customWidth="1"/>
    <x:col min="9" max="9" width="58" hidden="0" customWidth="1"/>
  </x:cols>
  <x:sheetData>
    <x:row r="1" ht="28" customHeight="1">
      <x:c r="A1" s="4" t="str">
        <x:v>Illustrative Institutional Profiles (Manuscript Table 2 Inputs/Reported Results)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Profile</x:v>
      </x:c>
      <x:c r="B3" s="12" t="str">
        <x:v>CPU_Core_Hours_Per_Month</x:v>
      </x:c>
      <x:c r="C3" s="12" t="str">
        <x:v>GPU_Hours_Per_Month</x:v>
      </x:c>
      <x:c r="D3" s="12" t="str">
        <x:v>Manuscript_CPU_Nodes</x:v>
      </x:c>
      <x:c r="E3" s="12" t="str">
        <x:v>Manuscript_GPU_Nodes</x:v>
      </x:c>
      <x:c r="F3" s="12" t="str">
        <x:v>Suggested_Active_Storage</x:v>
      </x:c>
      <x:c r="G3" s="12" t="str">
        <x:v>Suggested_Persistent_Storage</x:v>
      </x:c>
      <x:c r="H3" s="12" t="str">
        <x:v>Typical_Staffing_Floor</x:v>
      </x:c>
      <x:c r="I3" s="12" t="str">
        <x:v>Representative_Fit</x:v>
      </x:c>
    </x:row>
    <x:row r="4">
      <x:c r="A4" s="20" t="str">
        <x:v>Entry</x:v>
      </x:c>
      <x:c r="B4" s="20" t="n">
        <x:v>70000</x:v>
      </x:c>
      <x:c r="C4" s="20" t="n">
        <x:v>1200</x:v>
      </x:c>
      <x:c r="D4" s="20" t="n">
        <x:v>3</x:v>
      </x:c>
      <x:c r="E4" s="20" t="n">
        <x:v>1</x:v>
      </x:c>
      <x:c r="F4" s="20" t="str">
        <x:v>50–100 TB</x:v>
      </x:c>
      <x:c r="G4" s="20" t="str">
        <x:v>20–50 TB</x:v>
      </x:c>
      <x:c r="H4" s="20" t="str">
        <x:v>1 FTE</x:v>
      </x:c>
      <x:c r="I4" s="20" t="str">
        <x:v>New teaching and research platform</x:v>
      </x:c>
    </x:row>
    <x:row r="5">
      <x:c r="A5" s="20" t="str">
        <x:v>Intermediate</x:v>
      </x:c>
      <x:c r="B5" s="20" t="n">
        <x:v>260000</x:v>
      </x:c>
      <x:c r="C5" s="20" t="n">
        <x:v>8000</x:v>
      </x:c>
      <x:c r="D5" s="20" t="n">
        <x:v>11</x:v>
      </x:c>
      <x:c r="E5" s="20" t="n">
        <x:v>6</x:v>
      </x:c>
      <x:c r="F5" s="20" t="str">
        <x:v>150–300 TB</x:v>
      </x:c>
      <x:c r="G5" s="20" t="str">
        <x:v>100–200 TB</x:v>
      </x:c>
      <x:c r="H5" s="20" t="str">
        <x:v>2–3 FTE</x:v>
      </x:c>
      <x:c r="I5" s="20" t="str">
        <x:v>Research-active campus with moderate AI demand</x:v>
      </x:c>
    </x:row>
    <x:row r="6">
      <x:c r="A6" s="20" t="str">
        <x:v>Advanced</x:v>
      </x:c>
      <x:c r="B6" s="20" t="n">
        <x:v>700000</x:v>
      </x:c>
      <x:c r="C6" s="20" t="n">
        <x:v>28000</x:v>
      </x:c>
      <x:c r="D6" s="20" t="n">
        <x:v>28</x:v>
      </x:c>
      <x:c r="E6" s="20" t="n">
        <x:v>21</x:v>
      </x:c>
      <x:c r="F6" s="20" t="str">
        <x:v>500+ TB</x:v>
      </x:c>
      <x:c r="G6" s="20" t="str">
        <x:v>300+ TB</x:v>
      </x:c>
      <x:c r="H6" s="20" t="str">
        <x:v>4–6 FTE</x:v>
      </x:c>
      <x:c r="I6" s="20" t="str">
        <x:v>Regional platform supporting major AI workloads and external projects</x:v>
      </x:c>
    </x:row>
    <x:row r="8" ht="34" customHeight="1">
      <x:c r="A8" s="24" t="str">
        <x:v>Storage and staffing entries are manuscript-reported recommendations, not outputs of the node-count formulas.</x:v>
      </x:c>
      <x:c r="B8" s="24"/>
      <x:c r="C8" s="24"/>
      <x:c r="D8" s="24"/>
      <x:c r="E8" s="24"/>
      <x:c r="F8" s="24"/>
      <x:c r="G8" s="24"/>
      <x:c r="H8" s="24"/>
      <x:c r="I8" s="24"/>
    </x:row>
  </x:sheetData>
  <x:mergeCells>
    <x:mergeCell ref="A1:I1"/>
    <x:mergeCell ref="A8:I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2" hidden="0" customWidth="1"/>
    <x:col min="5" max="5" width="20" hidden="0" customWidth="1"/>
    <x:col min="6" max="6" width="14" hidden="0" customWidth="1"/>
    <x:col min="7" max="7" width="22" hidden="0" customWidth="1"/>
    <x:col min="8" max="8" width="20" hidden="0" customWidth="1"/>
    <x:col min="9" max="9" width="14" hidden="0" customWidth="1"/>
    <x:col min="10" max="10" width="28" hidden="0" customWidth="1"/>
    <x:col min="11" max="11" width="30" hidden="0" customWidth="1"/>
    <x:col min="12" max="12" width="24" hidden="0" customWidth="1"/>
  </x:cols>
  <x:sheetData>
    <x:row r="1">
      <x:c r="A1" s="4" t="str">
        <x:v>Reproduction of Manuscript Table 2 Node Counts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Profile</x:v>
      </x:c>
      <x:c r="B3" s="12" t="str">
        <x:v>CPU Core-Hours/Month</x:v>
      </x:c>
      <x:c r="C3" s="12" t="str">
        <x:v>GPU-Hours/Month</x:v>
      </x:c>
      <x:c r="D3" s="12" t="str">
        <x:v>Calculated CPU Nodes</x:v>
      </x:c>
      <x:c r="E3" s="12" t="str">
        <x:v>Reported CPU Nodes</x:v>
      </x:c>
      <x:c r="F3" s="12" t="str">
        <x:v>CPU Match</x:v>
      </x:c>
      <x:c r="G3" s="12" t="str">
        <x:v>Calculated GPU Nodes</x:v>
      </x:c>
      <x:c r="H3" s="12" t="str">
        <x:v>Reported GPU Nodes</x:v>
      </x:c>
      <x:c r="I3" s="12" t="str">
        <x:v>GPU Match</x:v>
      </x:c>
      <x:c r="J3" s="12" t="str">
        <x:v>Active Storage (reported)</x:v>
      </x:c>
      <x:c r="K3" s="12" t="str">
        <x:v>Persistent Storage (reported)</x:v>
      </x:c>
      <x:c r="L3" s="12" t="str">
        <x:v>Staffing (reported)</x:v>
      </x:c>
    </x:row>
    <x:row r="4">
      <x:c r="A4" s="18" t="str">
        <x:v>Entry</x:v>
      </x:c>
      <x:c r="B4" s="18" t="n">
        <x:v>70000</x:v>
      </x:c>
      <x:c r="C4" s="18" t="n">
        <x:v>1200</x:v>
      </x:c>
      <x:c r="D4" s="18" t="n">
        <x:f>ROUNDUP((B4*'05_Sizing_Assumptions'!$C$4)/('05_Sizing_Assumptions'!$C$5*'05_Sizing_Assumptions'!$C$7*'05_Sizing_Assumptions'!$C$8),0)</x:f>
        <x:v>3</x:v>
      </x:c>
      <x:c r="E4" s="18" t="n">
        <x:v>3</x:v>
      </x:c>
      <x:c r="F4" s="18" t="b">
        <x:f>D4=E4</x:f>
        <x:v>1</x:v>
      </x:c>
      <x:c r="G4" s="18" t="n">
        <x:f>ROUNDUP((C4*'05_Sizing_Assumptions'!$C$4)/('05_Sizing_Assumptions'!$C$6*'05_Sizing_Assumptions'!$C$7*'05_Sizing_Assumptions'!$C$9),0)</x:f>
        <x:v>1</x:v>
      </x:c>
      <x:c r="H4" s="18" t="n">
        <x:v>1</x:v>
      </x:c>
      <x:c r="I4" s="18" t="b">
        <x:f>G4=H4</x:f>
        <x:v>1</x:v>
      </x:c>
      <x:c r="J4" s="18" t="str">
        <x:v>50–100 TB</x:v>
      </x:c>
      <x:c r="K4" s="18" t="str">
        <x:v>20–50 TB</x:v>
      </x:c>
      <x:c r="L4" s="18" t="str">
        <x:v>1 FTE</x:v>
      </x:c>
    </x:row>
    <x:row r="5">
      <x:c r="A5" s="18" t="str">
        <x:v>Intermediate</x:v>
      </x:c>
      <x:c r="B5" s="18" t="n">
        <x:v>260000</x:v>
      </x:c>
      <x:c r="C5" s="18" t="n">
        <x:v>8000</x:v>
      </x:c>
      <x:c r="D5" s="18" t="n">
        <x:f>ROUNDUP((B5*'05_Sizing_Assumptions'!$C$4)/('05_Sizing_Assumptions'!$C$5*'05_Sizing_Assumptions'!$C$7*'05_Sizing_Assumptions'!$C$8),0)</x:f>
        <x:v>11</x:v>
      </x:c>
      <x:c r="E5" s="18" t="n">
        <x:v>11</x:v>
      </x:c>
      <x:c r="F5" s="18" t="b">
        <x:f>D5=E5</x:f>
        <x:v>1</x:v>
      </x:c>
      <x:c r="G5" s="18" t="n">
        <x:f>ROUNDUP((C5*'05_Sizing_Assumptions'!$C$4)/('05_Sizing_Assumptions'!$C$6*'05_Sizing_Assumptions'!$C$7*'05_Sizing_Assumptions'!$C$9),0)</x:f>
        <x:v>6</x:v>
      </x:c>
      <x:c r="H5" s="18" t="n">
        <x:v>6</x:v>
      </x:c>
      <x:c r="I5" s="18" t="b">
        <x:f>G5=H5</x:f>
        <x:v>1</x:v>
      </x:c>
      <x:c r="J5" s="18" t="str">
        <x:v>150–300 TB</x:v>
      </x:c>
      <x:c r="K5" s="18" t="str">
        <x:v>100–200 TB</x:v>
      </x:c>
      <x:c r="L5" s="18" t="str">
        <x:v>2–3 FTE</x:v>
      </x:c>
    </x:row>
    <x:row r="6">
      <x:c r="A6" s="18" t="str">
        <x:v>Advanced</x:v>
      </x:c>
      <x:c r="B6" s="18" t="n">
        <x:v>700000</x:v>
      </x:c>
      <x:c r="C6" s="18" t="n">
        <x:v>28000</x:v>
      </x:c>
      <x:c r="D6" s="18" t="n">
        <x:f>ROUNDUP((B6*'05_Sizing_Assumptions'!$C$4)/('05_Sizing_Assumptions'!$C$5*'05_Sizing_Assumptions'!$C$7*'05_Sizing_Assumptions'!$C$8),0)</x:f>
        <x:v>28</x:v>
      </x:c>
      <x:c r="E6" s="18" t="n">
        <x:v>28</x:v>
      </x:c>
      <x:c r="F6" s="18" t="b">
        <x:f>D6=E6</x:f>
        <x:v>1</x:v>
      </x:c>
      <x:c r="G6" s="18" t="n">
        <x:f>ROUNDUP((C6*'05_Sizing_Assumptions'!$C$4)/('05_Sizing_Assumptions'!$C$6*'05_Sizing_Assumptions'!$C$7*'05_Sizing_Assumptions'!$C$9),0)</x:f>
        <x:v>21</x:v>
      </x:c>
      <x:c r="H6" s="18" t="n">
        <x:v>21</x:v>
      </x:c>
      <x:c r="I6" s="18" t="b">
        <x:f>G6=H6</x:f>
        <x:v>1</x:v>
      </x:c>
      <x:c r="J6" s="18" t="str">
        <x:v>500+ TB</x:v>
      </x:c>
      <x:c r="K6" s="18" t="str">
        <x:v>300+ TB</x:v>
      </x:c>
      <x:c r="L6" s="18" t="str">
        <x:v>4–6 FTE</x:v>
      </x:c>
    </x:row>
    <x:row r="8" ht="32" customHeight="1">
      <x:c r="A8" s="24" t="str">
        <x:v>Formulas use ceiling/upward rounding. Storage ranges are preserved as reported because the manuscript does not provide component-level D_* values for these profiles.</x:v>
      </x:c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</x:row>
  </x:sheetData>
  <x:mergeCells>
    <x:mergeCell ref="A1:L1"/>
    <x:mergeCell ref="A8:L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18" hidden="0" customWidth="1"/>
    <x:col min="4" max="4" width="18" hidden="0" customWidth="1"/>
    <x:col min="5" max="5" width="18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16" hidden="0" customWidth="1"/>
  </x:cols>
  <x:sheetData>
    <x:row r="1">
      <x:c r="A1" s="4" t="str">
        <x:v>Illustrative Hypothetical Deployment Scenario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Scenario</x:v>
      </x:c>
      <x:c r="B3" s="12" t="str">
        <x:v>Students</x:v>
      </x:c>
      <x:c r="C3" s="12" t="str">
        <x:v>Active Researchers</x:v>
      </x:c>
      <x:c r="D3" s="12" t="str">
        <x:v>Recurrent GPU Users</x:v>
      </x:c>
      <x:c r="E3" s="12" t="str">
        <x:v>External Projects/Year</x:v>
      </x:c>
      <x:c r="F3" s="12" t="str">
        <x:v>CPU Core-Hours/Month</x:v>
      </x:c>
      <x:c r="G3" s="12" t="str">
        <x:v>GPU-Hours/Month</x:v>
      </x:c>
      <x:c r="H3" s="12" t="str">
        <x:v>Calculated CPU Nodes</x:v>
      </x:c>
      <x:c r="I3" s="12" t="str">
        <x:v>Reported CPU Nodes</x:v>
      </x:c>
      <x:c r="J3" s="12" t="str">
        <x:v>Calculated GPU Nodes</x:v>
      </x:c>
      <x:c r="K3" s="12" t="str">
        <x:v>Reported GPU Nodes</x:v>
      </x:c>
      <x:c r="L3" s="12" t="str">
        <x:v>Validation</x:v>
      </x:c>
    </x:row>
    <x:row r="4">
      <x:c r="A4" s="18" t="str">
        <x:v>Illustrative hypothetical university</x:v>
      </x:c>
      <x:c r="B4" s="18" t="n">
        <x:v>1800</x:v>
      </x:c>
      <x:c r="C4" s="18" t="n">
        <x:v>220</x:v>
      </x:c>
      <x:c r="D4" s="18" t="n">
        <x:v>50</x:v>
      </x:c>
      <x:c r="E4" s="18" t="n">
        <x:v>15</x:v>
      </x:c>
      <x:c r="F4" s="18" t="n">
        <x:v>300000</x:v>
      </x:c>
      <x:c r="G4" s="18" t="n">
        <x:v>10000</x:v>
      </x:c>
      <x:c r="H4" s="18" t="n">
        <x:f>ROUNDUP((F4*'05_Sizing_Assumptions'!$C$4)/('05_Sizing_Assumptions'!$C$5*'05_Sizing_Assumptions'!$C$7*'05_Sizing_Assumptions'!$C$8),0)</x:f>
        <x:v>12</x:v>
      </x:c>
      <x:c r="I4" s="18" t="n">
        <x:v>12</x:v>
      </x:c>
      <x:c r="J4" s="18" t="n">
        <x:f>ROUNDUP((G4*'05_Sizing_Assumptions'!$C$4)/('05_Sizing_Assumptions'!$C$6*'05_Sizing_Assumptions'!$C$7*'05_Sizing_Assumptions'!$C$9),0)</x:f>
        <x:v>8</x:v>
      </x:c>
      <x:c r="K4" s="18" t="n">
        <x:v>8</x:v>
      </x:c>
      <x:c r="L4" s="18" t="b">
        <x:f>AND(H4=I4,J4=K4)</x:f>
        <x:v>1</x:v>
      </x:c>
    </x:row>
    <x:row r="6">
      <x:c r="A6" s="12" t="str">
        <x:v>Required access/governance</x:v>
      </x:c>
      <x:c r="B6" s="18" t="str">
        <x:v>Course-integrated Jupyter access; protected project workspaces; annual hardware refresh planning</x:v>
      </x:c>
    </x:row>
    <x:row r="7">
      <x:c r="A7" s="12" t="str">
        <x:v>Initial platform stack</x:v>
      </x:c>
      <x:c r="B7" s="18" t="str">
        <x:v>Management/login tier; Slurm; Open OnDemand; JupyterHub; Apptainer; scratch + persistent storage; identity integration</x:v>
      </x:c>
    </x:row>
    <x:row r="8">
      <x:c r="A8" s="12" t="str">
        <x:v>Operating rules</x:v>
      </x:c>
      <x:c r="B8" s="18" t="str">
        <x:v>Teaching: time-bounded interactive partitions; Research: fair-share with standard research QoS; External projects: separate workspaces, named data owners, explicit retention schedules</x:v>
      </x:c>
    </x:row>
  </x:sheetData>
  <x:mergeCells>
    <x:mergeCell ref="A1:L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62" hidden="0" customWidth="1"/>
    <x:col min="4" max="4" width="62" hidden="0" customWidth="1"/>
    <x:col min="5" max="5" width="68" hidden="0" customWidth="1"/>
  </x:cols>
  <x:sheetData>
    <x:row r="1" ht="28" customHeight="1">
      <x:c r="A1" s="4" t="str">
        <x:v>Equations and Rounding / Handling Rules</x:v>
      </x:c>
      <x:c r="B1" s="4"/>
      <x:c r="C1" s="4"/>
      <x:c r="D1" s="4"/>
      <x:c r="E1" s="4"/>
    </x:row>
    <x:row r="3">
      <x:c r="A3" s="12" t="str">
        <x:v>Rule_ID</x:v>
      </x:c>
      <x:c r="B3" s="12" t="str">
        <x:v>Applies_To</x:v>
      </x:c>
      <x:c r="C3" s="12" t="str">
        <x:v>Rule</x:v>
      </x:c>
      <x:c r="D3" s="12" t="str">
        <x:v>Expression_or_Source</x:v>
      </x:c>
      <x:c r="E3" s="12" t="str">
        <x:v>Implementation_Note</x:v>
      </x:c>
    </x:row>
    <x:row r="4">
      <x:c r="A4" s="20" t="str">
        <x:v>RR-01</x:v>
      </x:c>
      <x:c r="B4" s="20" t="str">
        <x:v>CPU node count</x:v>
      </x:c>
      <x:c r="C4" s="20" t="str">
        <x:v>Use the ceiling of the calculated CPU-node requirement.</x:v>
      </x:c>
      <x:c r="D4" s="20" t="str">
        <x:v>N_CPU_nodes = ceil(phi * H_CPU / (eta_CPU * M * C_node))</x:v>
      </x:c>
      <x:c r="E4" s="20" t="str">
        <x:v>Always round upward to the next whole node.</x:v>
      </x:c>
    </x:row>
    <x:row r="5">
      <x:c r="A5" s="20" t="str">
        <x:v>RR-02</x:v>
      </x:c>
      <x:c r="B5" s="20" t="str">
        <x:v>GPU node count</x:v>
      </x:c>
      <x:c r="C5" s="20" t="str">
        <x:v>Use the ceiling of the calculated GPU-node requirement.</x:v>
      </x:c>
      <x:c r="D5" s="20" t="str">
        <x:v>N_GPU_nodes = ceil(phi * H_GPU / (eta_GPU * M * G_node))</x:v>
      </x:c>
      <x:c r="E5" s="20" t="str">
        <x:v>Always round upward to the next whole node.</x:v>
      </x:c>
    </x:row>
    <x:row r="6">
      <x:c r="A6" s="20" t="str">
        <x:v>RR-03</x:v>
      </x:c>
      <x:c r="B6" s="20" t="str">
        <x:v>Worked-example demand</x:v>
      </x:c>
      <x:c r="C6" s="20" t="str">
        <x:v>Use the monthly CPU core-hours and GPU-hours as reported for each illustrative profile.</x:v>
      </x:c>
      <x:c r="D6" s="20" t="str">
        <x:v>Input values from manuscript Table 2</x:v>
      </x:c>
      <x:c r="E6" s="20" t="str">
        <x:v>Do not reverse-engineer unreported domain-level N/J/C/G/T values.</x:v>
      </x:c>
    </x:row>
    <x:row r="7">
      <x:c r="A7" s="20" t="str">
        <x:v>RR-04</x:v>
      </x:c>
      <x:c r="B7" s="20" t="str">
        <x:v>Storage</x:v>
      </x:c>
      <x:c r="C7" s="20" t="str">
        <x:v>Preserve manuscript storage recommendations as ranges/text unless local D_* component inputs are supplied.</x:v>
      </x:c>
      <x:c r="D7" s="20" t="str">
        <x:v>S_active, S_persistent, S_archive equations</x:v>
      </x:c>
      <x:c r="E7" s="20" t="str">
        <x:v>The manuscript does not provide component-level D_* values for Table 2 profiles or the illustrative scenario.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0" hidden="0" customWidth="1"/>
    <x:col min="3" max="3" width="18" hidden="0" customWidth="1"/>
    <x:col min="4" max="4" width="82" hidden="0" customWidth="1"/>
  </x:cols>
  <x:sheetData>
    <x:row r="1" ht="28" customHeight="1">
      <x:c r="A1" s="31" t="str">
        <x:v>Machine-Readable Data Dictionary</x:v>
      </x:c>
      <x:c r="B1" s="31"/>
      <x:c r="C1" s="31"/>
      <x:c r="D1" s="31"/>
    </x:row>
    <x:row r="3">
      <x:c r="A3" s="36" t="str">
        <x:v>File_or_Sheet</x:v>
      </x:c>
      <x:c r="B3" s="36" t="str">
        <x:v>Field</x:v>
      </x:c>
      <x:c r="C3" s="36" t="str">
        <x:v>Type</x:v>
      </x:c>
      <x:c r="D3" s="36" t="str">
        <x:v>Definition</x:v>
      </x:c>
    </x:row>
    <x:row r="4">
      <x:c r="A4" s="20" t="str">
        <x:v>source_inventory.csv</x:v>
      </x:c>
      <x:c r="B4" s="20" t="str">
        <x:v>Source_ID</x:v>
      </x:c>
      <x:c r="C4" s="20" t="str">
        <x:v>string</x:v>
      </x:c>
      <x:c r="D4" s="20" t="str">
        <x:v>Unique retained-source identifier.</x:v>
      </x:c>
    </x:row>
    <x:row r="5">
      <x:c r="A5" s="20" t="str">
        <x:v>source_inventory.csv</x:v>
      </x:c>
      <x:c r="B5" s="20" t="str">
        <x:v>Citation_Key</x:v>
      </x:c>
      <x:c r="C5" s="20" t="str">
        <x:v>string</x:v>
      </x:c>
      <x:c r="D5" s="20" t="str">
        <x:v>Manuscript citation key.</x:v>
      </x:c>
    </x:row>
    <x:row r="6">
      <x:c r="A6" s="20" t="str">
        <x:v>requirement_extraction.csv</x:v>
      </x:c>
      <x:c r="B6" s="20" t="str">
        <x:v>Requirement_ID</x:v>
      </x:c>
      <x:c r="C6" s="20" t="str">
        <x:v>string</x:v>
      </x:c>
      <x:c r="D6" s="20" t="str">
        <x:v>Unique consolidated requirement identifier.</x:v>
      </x:c>
    </x:row>
    <x:row r="7">
      <x:c r="A7" s="20" t="str">
        <x:v>sizing_assumptions.csv</x:v>
      </x:c>
      <x:c r="B7" s="20" t="str">
        <x:v>Value</x:v>
      </x:c>
      <x:c r="C7" s="20" t="str">
        <x:v>number</x:v>
      </x:c>
      <x:c r="D7" s="20" t="str">
        <x:v>Numerical assumption used in manuscript worked examples.</x:v>
      </x:c>
    </x:row>
    <x:row r="8">
      <x:c r="A8" s="20" t="str">
        <x:v>institutional_profiles.csv</x:v>
      </x:c>
      <x:c r="B8" s="20" t="str">
        <x:v>CPU_Core_Hours_Per_Month</x:v>
      </x:c>
      <x:c r="C8" s="20" t="str">
        <x:v>integer</x:v>
      </x:c>
      <x:c r="D8" s="20" t="str">
        <x:v>Combined illustrative monthly CPU demand.</x:v>
      </x:c>
    </x:row>
    <x:row r="9">
      <x:c r="A9" s="20" t="str">
        <x:v>institutional_profiles.csv</x:v>
      </x:c>
      <x:c r="B9" s="20" t="str">
        <x:v>GPU_Hours_Per_Month</x:v>
      </x:c>
      <x:c r="C9" s="20" t="str">
        <x:v>integer</x:v>
      </x:c>
      <x:c r="D9" s="20" t="str">
        <x:v>Combined illustrative monthly GPU demand.</x:v>
      </x:c>
    </x:row>
    <x:row r="10">
      <x:c r="A10" s="20" t="str">
        <x:v>illustrative_scenario.csv</x:v>
      </x:c>
      <x:c r="B10" s="20" t="str">
        <x:v>CPU_Core_Hours_Per_Month</x:v>
      </x:c>
      <x:c r="C10" s="20" t="str">
        <x:v>integer</x:v>
      </x:c>
      <x:c r="D10" s="20" t="str">
        <x:v>Illustrative scenario monthly CPU demand.</x:v>
      </x:c>
    </x:row>
    <x:row r="11">
      <x:c r="A11" s="20" t="str">
        <x:v>implementation_checklist.csv</x:v>
      </x:c>
      <x:c r="B11" s="20" t="str">
        <x:v>Area</x:v>
      </x:c>
      <x:c r="C11" s="20" t="str">
        <x:v>string</x:v>
      </x:c>
      <x:c r="D11" s="20" t="str">
        <x:v>Readiness/implementation control area.</x:v>
      </x:c>
    </x:row>
    <x:row r="12">
      <x:c r="A12" s="20" t="str">
        <x:v>implementation_checklist.csv</x:v>
      </x:c>
      <x:c r="B12" s="20" t="str">
        <x:v>Checklist_Item</x:v>
      </x:c>
      <x:c r="C12" s="20" t="str">
        <x:v>string</x:v>
      </x:c>
      <x:c r="D12" s="20" t="str">
        <x:v>Recommended implementation action.</x:v>
      </x:c>
    </x:row>
    <x:row r="13">
      <x:c r="A13" s="20" t="str">
        <x:v>kpi_definitions.csv</x:v>
      </x:c>
      <x:c r="B13" s="20" t="str">
        <x:v>KPI</x:v>
      </x:c>
      <x:c r="C13" s="20" t="str">
        <x:v>string</x:v>
      </x:c>
      <x:c r="D13" s="20" t="str">
        <x:v>Implementation or outcome indicator.</x:v>
      </x:c>
    </x:row>
    <x:row r="14">
      <x:c r="A14" s="20" t="str">
        <x:v>kpi_definitions.csv</x:v>
      </x:c>
      <x:c r="B14" s="20" t="str">
        <x:v>Type</x:v>
      </x:c>
      <x:c r="C14" s="20" t="str">
        <x:v>enum</x:v>
      </x:c>
      <x:c r="D14" s="20" t="str">
        <x:v>Implementation or Outcome.</x:v>
      </x:c>
    </x:row>
    <x:row r="15">
      <x:c r="A15" s="20" t="str">
        <x:v>procurement_template.csv</x:v>
      </x:c>
      <x:c r="B15" s="20" t="str">
        <x:v>Component</x:v>
      </x:c>
      <x:c r="C15" s="20" t="str">
        <x:v>string</x:v>
      </x:c>
      <x:c r="D15" s="20" t="str">
        <x:v>Parameterized infrastructure component.</x:v>
      </x:c>
    </x:row>
    <x:row r="16">
      <x:c r="A16" s="20" t="str">
        <x:v>framework_traceability.csv</x:v>
      </x:c>
      <x:c r="B16" s="20" t="str">
        <x:v>RQ</x:v>
      </x:c>
      <x:c r="C16" s="20" t="str">
        <x:v>string</x:v>
      </x:c>
      <x:c r="D16" s="20" t="str">
        <x:v>Research question identifier.</x:v>
      </x:c>
    </x:row>
    <x:row r="17">
      <x:c r="A17" s="20" t="str">
        <x:v>framework_traceability.csv</x:v>
      </x:c>
      <x:c r="B17" s="20" t="str">
        <x:v>Repository_Evidence</x:v>
      </x:c>
      <x:c r="C17" s="20" t="str">
        <x:v>string</x:v>
      </x:c>
      <x:c r="D17" s="20" t="str">
        <x:v>Files supporting/auditing the artifact.</x:v>
      </x:c>
    </x:row>
    <x:row r="18">
      <x:c r="A18" s="20" t="str">
        <x:v>namal_hpc_public_context.csv</x:v>
      </x:c>
      <x:c r="B18" s="20" t="str">
        <x:v>Current_Value</x:v>
      </x:c>
      <x:c r="C18" s="20" t="str">
        <x:v>string</x:v>
      </x:c>
      <x:c r="D18" s="20" t="str">
        <x:v>Current contextual value; not an analytical sizing input.</x:v>
      </x:c>
    </x:row>
    <x:row r="19">
      <x:c r="A19" s="18" t="str">
        <x:v>namal_hpc_public_context.csv</x:v>
      </x:c>
      <x:c r="B19" s="18" t="str">
        <x:v>Status</x:v>
      </x:c>
      <x:c r="C19" s="18" t="str">
        <x:v>string</x:v>
      </x:c>
      <x:c r="D19" s="18" t="str">
        <x:v>Publicly documented or operator-confirmed provenance status.</x:v>
      </x:c>
    </x:row>
    <x:row r="20">
      <x:c r="A20" s="18" t="str">
        <x:v>training_source_index.csv</x:v>
      </x:c>
      <x:c r="B20" s="18" t="str">
        <x:v>Training_Source</x:v>
      </x:c>
      <x:c r="C20" s="18" t="str">
        <x:v>string</x:v>
      </x:c>
      <x:c r="D20" s="18" t="str">
        <x:v>Relative source path/topic from supplied training archive.</x:v>
      </x:c>
    </x:row>
    <x:row r="21">
      <x:c r="A21" s="18" t="str">
        <x:v>training_source_index.csv</x:v>
      </x:c>
      <x:c r="B21" s="18" t="str">
        <x:v>Sanitization_or_Engineering_Change</x:v>
      </x:c>
      <x:c r="C21" s="18" t="str">
        <x:v>string</x:v>
      </x:c>
      <x:c r="D21" s="18" t="str">
        <x:v>Transformation applied for public-release examples.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56" hidden="0" customWidth="1"/>
  </x:cols>
  <x:sheetData>
    <x:row r="1">
      <x:c r="A1" s="31" t="str">
        <x:v>Implementation Checklist</x:v>
      </x:c>
      <x:c r="B1" s="31"/>
      <x:c r="C1" s="31"/>
    </x:row>
    <x:row r="3">
      <x:c r="A3" s="36" t="str">
        <x:v>Area</x:v>
      </x:c>
      <x:c r="B3" s="36" t="str">
        <x:v>Checklist_Item</x:v>
      </x:c>
      <x:c r="C3" s="36" t="str">
        <x:v>Artifact_or_Evidence</x:v>
      </x:c>
    </x:row>
    <x:row r="4">
      <x:c r="A4" s="20" t="str">
        <x:v>Mission alignment</x:v>
      </x:c>
      <x:c r="B4" s="20" t="str">
        <x:v>Define intended support for teaching, research, and innovation separately; identify executive/faculty sponsorship.</x:v>
      </x:c>
      <x:c r="C4" s="20" t="str">
        <x:v>README; requirement_extraction.csv; framework_traceability.csv</x:v>
      </x:c>
    </x:row>
    <x:row r="5">
      <x:c r="A5" s="20" t="str">
        <x:v>Workload discovery</x:v>
      </x:c>
      <x:c r="B5" s="20" t="str">
        <x:v>Estimate CPU core-hours, GPU-hours, interactive sessions, storage tiers, and external-project demand.</x:v>
      </x:c>
      <x:c r="C5" s="20" t="str">
        <x:v>sizing_assumptions.csv; institutional_profiles.csv; illustrative_scenario.csv</x:v>
      </x:c>
    </x:row>
    <x:row r="6">
      <x:c r="A6" s="20" t="str">
        <x:v>Facilities</x:v>
      </x:c>
      <x:c r="B6" s="20" t="str">
        <x:v>Verify power, cooling, rack space, grounding, fire suppression, and on-site physical security.</x:v>
      </x:c>
      <x:c r="C6" s="20" t="str">
        <x:v>Local engineering study required; not prescribed by the generic framework.</x:v>
      </x:c>
    </x:row>
    <x:row r="7">
      <x:c r="A7" s="20" t="str">
        <x:v>Networking</x:v>
      </x:c>
      <x:c r="B7" s="20" t="str">
        <x:v>Plan compute fabric, storage connectivity, campus/service access, data-transfer path, and out-of-band management.</x:v>
      </x:c>
      <x:c r="C7" s="20" t="str">
        <x:v>procurement_template.csv; NAMAL_HPC_CONTEXT.md</x:v>
      </x:c>
    </x:row>
    <x:row r="8">
      <x:c r="A8" s="20" t="str">
        <x:v>Identity and access</x:v>
      </x:c>
      <x:c r="B8" s="20" t="str">
        <x:v>Integrate central identity where possible, apply MFA where appropriate, and define guest/partner access.</x:v>
      </x:c>
      <x:c r="C8" s="20" t="str">
        <x:v>requirement_extraction.csv; SECURITY.md</x:v>
      </x:c>
    </x:row>
    <x:row r="9">
      <x:c r="A9" s="20" t="str">
        <x:v>Provisioning</x:v>
      </x:c>
      <x:c r="B9" s="20" t="str">
        <x:v>Select repeatable installation/provisioning baseline, image management, and configuration-control approach.</x:v>
      </x:c>
      <x:c r="C9" s="20" t="str">
        <x:v>IMPLEMENTATION_GUIDE.md</x:v>
      </x:c>
    </x:row>
    <x:row r="10">
      <x:c r="A10" s="20" t="str">
        <x:v>Scheduler policy</x:v>
      </x:c>
      <x:c r="B10" s="20" t="str">
        <x:v>Define partitions, QoS classes, quotas, teaching windows, fair-share rules, and reservations.</x:v>
      </x:c>
      <x:c r="C10" s="20" t="str">
        <x:v>examples/slurm; IMPLEMENTATION_GUIDE.md</x:v>
      </x:c>
    </x:row>
    <x:row r="11">
      <x:c r="A11" s="20" t="str">
        <x:v>Container policy</x:v>
      </x:c>
      <x:c r="B11" s="20" t="str">
        <x:v>Approve container runtime, trusted base images, verification policy, and image-retention practices.</x:v>
      </x:c>
      <x:c r="C11" s="20" t="str">
        <x:v>IMPLEMENTATION_GUIDE.md</x:v>
      </x:c>
    </x:row>
    <x:row r="12">
      <x:c r="A12" s="20" t="str">
        <x:v>Portals</x:v>
      </x:c>
      <x:c r="B12" s="20" t="str">
        <x:v>Decide whether browser portal, JupyterHub, remote desktop, or IDE services are in scope by phase.</x:v>
      </x:c>
      <x:c r="C12" s="20" t="str">
        <x:v>requirement_extraction.csv</x:v>
      </x:c>
    </x:row>
    <x:row r="13">
      <x:c r="A13" s="20" t="str">
        <x:v>Storage</x:v>
      </x:c>
      <x:c r="B13" s="20" t="str">
        <x:v>Define scratch, project, and archive tiers plus retention, purge, backup, and snapshot policies.</x:v>
      </x:c>
      <x:c r="C13" s="20" t="str">
        <x:v>hpc_sizing.py; procurement_template.csv</x:v>
      </x:c>
    </x:row>
    <x:row r="14">
      <x:c r="A14" s="20" t="str">
        <x:v>Data governance</x:v>
      </x:c>
      <x:c r="B14" s="20" t="str">
        <x:v>Map data classes and approval routes; identify workloads that require restricted environments.</x:v>
      </x:c>
      <x:c r="C14" s="20" t="str">
        <x:v>implementation_checklist.csv; requirement_extraction.csv</x:v>
      </x:c>
    </x:row>
    <x:row r="15">
      <x:c r="A15" s="20" t="str">
        <x:v>Support model</x:v>
      </x:c>
      <x:c r="B15" s="20" t="str">
        <x:v>Define ticketing, onboarding, documentation, office hours, training cadence, and escalation responsibilities.</x:v>
      </x:c>
      <x:c r="C15" s="20" t="str">
        <x:v>IMPLEMENTATION_GUIDE.md; training_source_index.csv</x:v>
      </x:c>
    </x:row>
    <x:row r="16">
      <x:c r="A16" s="20" t="str">
        <x:v>Finance</x:v>
      </x:c>
      <x:c r="B16" s="20" t="str">
        <x:v>Define capital source, refresh reserve, recharge/condominium options, and attribution/reporting model.</x:v>
      </x:c>
      <x:c r="C16" s="20" t="str">
        <x:v>procurement_template.csv</x:v>
      </x:c>
    </x:row>
    <x:row r="17">
      <x:c r="A17" s="20" t="str">
        <x:v>Evaluation</x:v>
      </x:c>
      <x:c r="B17" s="20" t="str">
        <x:v>Adopt implementation and outcome KPI definitions before launch and review them periodically.</x:v>
      </x:c>
      <x:c r="C17" s="20" t="str">
        <x:v>kpi_definitions.csv</x:v>
      </x:c>
    </x:row>
  </x:sheetData>
  <x:mergeCells>
    <x:mergeCell ref="A1:C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74" hidden="0" customWidth="1"/>
    <x:col min="4" max="4" width="46" hidden="0" customWidth="1"/>
  </x:cols>
  <x:sheetData>
    <x:row r="1">
      <x:c r="A1" s="31" t="str">
        <x:v>Suggested KPI Definitions</x:v>
      </x:c>
      <x:c r="B1" s="31"/>
      <x:c r="C1" s="31"/>
      <x:c r="D1" s="31"/>
    </x:row>
    <x:row r="3">
      <x:c r="A3" s="36" t="str">
        <x:v>KPI</x:v>
      </x:c>
      <x:c r="B3" s="36" t="str">
        <x:v>Type</x:v>
      </x:c>
      <x:c r="C3" s="36" t="str">
        <x:v>Definition</x:v>
      </x:c>
      <x:c r="D3" s="36" t="str">
        <x:v>Suggested_Data_Source</x:v>
      </x:c>
    </x:row>
    <x:row r="4">
      <x:c r="A4" s="20" t="str">
        <x:v>Provisioned node availability</x:v>
      </x:c>
      <x:c r="B4" s="20" t="str">
        <x:v>Implementation</x:v>
      </x:c>
      <x:c r="C4" s="20" t="str">
        <x:v>Share of scheduled service hours in which provisioned nodes are available for use.</x:v>
      </x:c>
      <x:c r="D4" s="20" t="str">
        <x:v>Slurm/node monitoring and maintenance records</x:v>
      </x:c>
    </x:row>
    <x:row r="5">
      <x:c r="A5" s="20" t="str">
        <x:v>Median queue wait time</x:v>
      </x:c>
      <x:c r="B5" s="20" t="str">
        <x:v>Implementation</x:v>
      </x:c>
      <x:c r="C5" s="20" t="str">
        <x:v>Median time between job submission and start for standard jobs, reported by partition/QoS.</x:v>
      </x:c>
      <x:c r="D5" s="20" t="str">
        <x:v>Slurm accounting</x:v>
      </x:c>
    </x:row>
    <x:row r="6">
      <x:c r="A6" s="20" t="str">
        <x:v>GPU utilization rate</x:v>
      </x:c>
      <x:c r="B6" s="20" t="str">
        <x:v>Implementation</x:v>
      </x:c>
      <x:c r="C6" s="20" t="str">
        <x:v>Aggregate occupied GPU-hours divided by available GPU-hours over the reporting period.</x:v>
      </x:c>
      <x:c r="D6" s="20" t="str">
        <x:v>Slurm accounting plus GPU telemetry</x:v>
      </x:c>
    </x:row>
    <x:row r="7">
      <x:c r="A7" s="20" t="str">
        <x:v>Interactive session completion rate</x:v>
      </x:c>
      <x:c r="B7" s="20" t="str">
        <x:v>Implementation</x:v>
      </x:c>
      <x:c r="C7" s="20" t="str">
        <x:v>Share of scheduled notebook/portal sessions completed without administrative failure.</x:v>
      </x:c>
      <x:c r="D7" s="20" t="str">
        <x:v>Portal/Jupyter service logs</x:v>
      </x:c>
    </x:row>
    <x:row r="8">
      <x:c r="A8" s="20" t="str">
        <x:v>Training completion count</x:v>
      </x:c>
      <x:c r="B8" s="20" t="str">
        <x:v>Implementation</x:v>
      </x:c>
      <x:c r="C8" s="20" t="str">
        <x:v>Number of users completing defined onboarding, workshop, or course modules.</x:v>
      </x:c>
      <x:c r="D8" s="20" t="str">
        <x:v>Training records</x:v>
      </x:c>
    </x:row>
    <x:row r="9">
      <x:c r="A9" s="20" t="str">
        <x:v>Software environment reproducibility</x:v>
      </x:c>
      <x:c r="B9" s="20" t="str">
        <x:v>Implementation</x:v>
      </x:c>
      <x:c r="C9" s="20" t="str">
        <x:v>Share of supported workflows executed through approved containers or versioned environments.</x:v>
      </x:c>
      <x:c r="D9" s="20" t="str">
        <x:v>Container/module usage records</x:v>
      </x:c>
    </x:row>
    <x:row r="10">
      <x:c r="A10" s="20" t="str">
        <x:v>Storage policy compliance</x:v>
      </x:c>
      <x:c r="B10" s="20" t="str">
        <x:v>Implementation</x:v>
      </x:c>
      <x:c r="C10" s="20" t="str">
        <x:v>Share of active projects using approved storage tiers rather than unmanaged patterns.</x:v>
      </x:c>
      <x:c r="D10" s="20" t="str">
        <x:v>Filesystem/project audits</x:v>
      </x:c>
    </x:row>
    <x:row r="11">
      <x:c r="A11" s="20" t="str">
        <x:v>External project onboarding time</x:v>
      </x:c>
      <x:c r="B11" s="20" t="str">
        <x:v>Implementation</x:v>
      </x:c>
      <x:c r="C11" s="20" t="str">
        <x:v>Median days from an approved external-project request to a usable project workspace.</x:v>
      </x:c>
      <x:c r="D11" s="20" t="str">
        <x:v>Service desk/project records</x:v>
      </x:c>
    </x:row>
    <x:row r="12">
      <x:c r="A12" s="20" t="str">
        <x:v>Publications enabled</x:v>
      </x:c>
      <x:c r="B12" s="20" t="str">
        <x:v>Outcome</x:v>
      </x:c>
      <x:c r="C12" s="20" t="str">
        <x:v>Count of scholarly outputs citing or acknowledging the platform.</x:v>
      </x:c>
      <x:c r="D12" s="20" t="str">
        <x:v>Institutional publication records</x:v>
      </x:c>
    </x:row>
    <x:row r="13">
      <x:c r="A13" s="20" t="str">
        <x:v>Curricular integration depth</x:v>
      </x:c>
      <x:c r="B13" s="20" t="str">
        <x:v>Outcome</x:v>
      </x:c>
      <x:c r="C13" s="20" t="str">
        <x:v>Number of courses using the platform and the level of integration in assessments/labs.</x:v>
      </x:c>
      <x:c r="D13" s="20" t="str">
        <x:v>Course records</x:v>
      </x:c>
    </x:row>
    <x:row r="14">
      <x:c r="A14" s="20" t="str">
        <x:v>Prototype transition count</x:v>
      </x:c>
      <x:c r="B14" s="20" t="str">
        <x:v>Outcome</x:v>
      </x:c>
      <x:c r="C14" s="20" t="str">
        <x:v>Number of projects progressing from exploratory compute use to validated prototypes or delivered services.</x:v>
      </x:c>
      <x:c r="D14" s="20" t="str">
        <x:v>Innovation/technology-transfer records</x:v>
      </x:c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70" hidden="0" customWidth="1"/>
    <x:col min="4" max="4" width="22" hidden="0" customWidth="1"/>
  </x:cols>
  <x:sheetData>
    <x:row r="1">
      <x:c r="A1" s="31" t="str">
        <x:v>Parameterized Procurement / Specification Template</x:v>
      </x:c>
      <x:c r="B1" s="31"/>
      <x:c r="C1" s="31"/>
      <x:c r="D1" s="31"/>
    </x:row>
    <x:row r="3">
      <x:c r="A3" s="36" t="str">
        <x:v>Component</x:v>
      </x:c>
      <x:c r="B3" s="36" t="str">
        <x:v>Parameter_or_Example</x:v>
      </x:c>
      <x:c r="C3" s="36" t="str">
        <x:v>Role_in_Architecture</x:v>
      </x:c>
      <x:c r="D3" s="36" t="str">
        <x:v>Local_Engineering_Required</x:v>
      </x:c>
    </x:row>
    <x:row r="4">
      <x:c r="A4" s="20" t="str">
        <x:v>CPU compute nodes</x:v>
      </x:c>
      <x:c r="B4" s="20" t="str">
        <x:v>n_c nodes, each with two sockets and C_node total cores</x:v>
      </x:c>
      <x:c r="C4" s="20" t="str">
        <x:v>General simulation, compilation, MPI, ETL, and moderately parallel workloads</x:v>
      </x:c>
      <x:c r="D4" s="20" t="str">
        <x:v>Yes</x:v>
      </x:c>
    </x:row>
    <x:row r="5">
      <x:c r="A5" s="20" t="str">
        <x:v>GPU compute nodes</x:v>
      </x:c>
      <x:c r="B5" s="20" t="str">
        <x:v>n_g nodes, each with G_node GPUs and adequate host RAM</x:v>
      </x:c>
      <x:c r="C5" s="20" t="str">
        <x:v>AI training, inference, accelerated analytics, and student AI laboratories</x:v>
      </x:c>
      <x:c r="D5" s="20" t="str">
        <x:v>Yes</x:v>
      </x:c>
    </x:row>
    <x:row r="6">
      <x:c r="A6" s="20" t="str">
        <x:v>Login nodes</x:v>
      </x:c>
      <x:c r="B6" s="20" t="str">
        <x:v>1–2 redundant servers</x:v>
      </x:c>
      <x:c r="C6" s="20" t="str">
        <x:v>Shell access, compilation, gateway functions; not production compute</x:v>
      </x:c>
      <x:c r="D6" s="20" t="str">
        <x:v>Yes</x:v>
      </x:c>
    </x:row>
    <x:row r="7">
      <x:c r="A7" s="20" t="str">
        <x:v>Management servers</x:v>
      </x:c>
      <x:c r="B7" s="20" t="str">
        <x:v>1–2 servers</x:v>
      </x:c>
      <x:c r="C7" s="20" t="str">
        <x:v>Scheduler/controller, accounting database, monitoring, provisioning, IAM integration</x:v>
      </x:c>
      <x:c r="D7" s="20" t="str">
        <x:v>Yes</x:v>
      </x:c>
    </x:row>
    <x:row r="8">
      <x:c r="A8" s="20" t="str">
        <x:v>Scratch storage</x:v>
      </x:c>
      <x:c r="B8" s="20" t="str">
        <x:v>S_active TB high-throughput</x:v>
      </x:c>
      <x:c r="C8" s="20" t="str">
        <x:v>Temporary job I/O, checkpoints, purge-enabled workspace</x:v>
      </x:c>
      <x:c r="D8" s="20" t="str">
        <x:v>Yes</x:v>
      </x:c>
    </x:row>
    <x:row r="9">
      <x:c r="A9" s="20" t="str">
        <x:v>Persistent project storage</x:v>
      </x:c>
      <x:c r="B9" s="20" t="str">
        <x:v>S_persistent TB with snapshots/backup</x:v>
      </x:c>
      <x:c r="C9" s="20" t="str">
        <x:v>Shared project data, software stacks, retained outputs</x:v>
      </x:c>
      <x:c r="D9" s="20" t="str">
        <x:v>Yes</x:v>
      </x:c>
    </x:row>
    <x:row r="10">
      <x:c r="A10" s="20" t="str">
        <x:v>Archive tier</x:v>
      </x:c>
      <x:c r="B10" s="20" t="str">
        <x:v>S_archive TB or object/tape service</x:v>
      </x:c>
      <x:c r="C10" s="20" t="str">
        <x:v>Curated retention, long-term storage, compliance copies</x:v>
      </x:c>
      <x:c r="D10" s="20" t="str">
        <x:v>Yes</x:v>
      </x:c>
    </x:row>
    <x:row r="11">
      <x:c r="A11" s="20" t="str">
        <x:v>Compute network</x:v>
      </x:c>
      <x:c r="B11" s="20" t="str">
        <x:v>Low-latency fabric sized to node/accelerator communication demand</x:v>
      </x:c>
      <x:c r="C11" s="20" t="str">
        <x:v>MPI, collective communication, accelerator scale-out</x:v>
      </x:c>
      <x:c r="D11" s="20" t="str">
        <x:v>Yes</x:v>
      </x:c>
    </x:row>
    <x:row r="12">
      <x:c r="A12" s="20" t="str">
        <x:v>Campus/service network</x:v>
      </x:c>
      <x:c r="B12" s="20" t="str">
        <x:v>Institution-appropriate Ethernet/service connectivity</x:v>
      </x:c>
      <x:c r="C12" s="20" t="str">
        <x:v>Portal, transfer, management, and user access</x:v>
      </x:c>
      <x:c r="D12" s="20" t="str">
        <x:v>Yes</x:v>
      </x:c>
    </x:row>
    <x:row r="13">
      <x:c r="A13" s="20" t="str">
        <x:v>Out-of-band management</x:v>
      </x:c>
      <x:c r="B13" s="20" t="str">
        <x:v>Separate management path and remote power control</x:v>
      </x:c>
      <x:c r="C13" s="20" t="str">
        <x:v>Recovery, secure administration, and fault isolation</x:v>
      </x:c>
      <x:c r="D13" s="20" t="str">
        <x:v>Yes</x:v>
      </x:c>
    </x:row>
    <x:row r="14">
      <x:c r="A14" s="20" t="str">
        <x:v>Software baseline</x:v>
      </x:c>
      <x:c r="B14" s="20" t="str">
        <x:v>Linux, Slurm, containers, portal, monitoring, environment modules</x:v>
      </x:c>
      <x:c r="C14" s="20" t="str">
        <x:v>Governed shared-computing service</x:v>
      </x:c>
      <x:c r="D14" s="20" t="str">
        <x:v>Yes</x:v>
      </x:c>
    </x:row>
    <x:row r="15">
      <x:c r="A15" s="20" t="str">
        <x:v>Support contract and staff</x:v>
      </x:c>
      <x:c r="B15" s="20" t="str">
        <x:v>Vendor/integrator support plus internal operations capability</x:v>
      </x:c>
      <x:c r="C15" s="20" t="str">
        <x:v>Hardware support, daily operations, user support, training, security coordination</x:v>
      </x:c>
      <x:c r="D15" s="20" t="str">
        <x:v>Yes</x:v>
      </x:c>
    </x:row>
    <x:row r="17" ht="34" customHeight="1">
      <x:c r="A17" s="39" t="str">
        <x:v>Values remain locally parameterized; the framework does not select a specific vendor or cooling/power design.</x:v>
      </x:c>
      <x:c r="B17" s="39"/>
      <x:c r="C17" s="39"/>
      <x:c r="D17" s="39"/>
    </x:row>
  </x:sheetData>
  <x:mergeCells>
    <x:mergeCell ref="A1:D1"/>
    <x:mergeCell ref="A17:D1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54" hidden="0" customWidth="1"/>
    <x:col min="4" max="4" width="72" hidden="0" customWidth="1"/>
    <x:col min="5" max="5" width="72" hidden="0" customWidth="1"/>
  </x:cols>
  <x:sheetData>
    <x:row r="1">
      <x:c r="A1" s="31" t="str">
        <x:v>Research Question to Artifact Traceability</x:v>
      </x:c>
      <x:c r="B1" s="31"/>
      <x:c r="C1" s="31"/>
      <x:c r="D1" s="31"/>
      <x:c r="E1" s="31"/>
    </x:row>
    <x:row r="3">
      <x:c r="A3" s="36" t="str">
        <x:v>RQ</x:v>
      </x:c>
      <x:c r="B3" s="36" t="str">
        <x:v>Research_Question_Focus</x:v>
      </x:c>
      <x:c r="C3" s="36" t="str">
        <x:v>Primary_Artifact</x:v>
      </x:c>
      <x:c r="D3" s="36" t="str">
        <x:v>Repository_Evidence</x:v>
      </x:c>
      <x:c r="E3" s="36" t="str">
        <x:v>Reproduction_or_Audit_Path</x:v>
      </x:c>
    </x:row>
    <x:row r="4">
      <x:c r="A4" s="20" t="str">
        <x:v>RQ1</x:v>
      </x:c>
      <x:c r="B4" s="20" t="str">
        <x:v>Functional requirements for a university supercomputing platform</x:v>
      </x:c>
      <x:c r="C4" s="20" t="str">
        <x:v>Requirements matrix and implementation checklist</x:v>
      </x:c>
      <x:c r="D4" s="20" t="str">
        <x:v>data/requirement_extraction.csv; data/implementation_checklist.csv</x:v>
      </x:c>
      <x:c r="E4" s="20" t="str">
        <x:v>Inspect requirements and supporting citation keys; cross-check against source inventory.</x:v>
      </x:c>
    </x:row>
    <x:row r="5">
      <x:c r="A5" s="20" t="str">
        <x:v>RQ2</x:v>
      </x:c>
      <x:c r="B5" s="20" t="str">
        <x:v>Reference architecture integrating HPC, AI, data, access, and institutional services</x:v>
      </x:c>
      <x:c r="C5" s="20" t="str">
        <x:v>Layered architecture and authoritative-source conformance matrix</x:v>
      </x:c>
      <x:c r="D5" s="20" t="str">
        <x:v>data/conformance_matrix.csv; docs/REFERENCE_ARCHITECTURE.md</x:v>
      </x:c>
      <x:c r="E5" s="20" t="str">
        <x:v>Trace each architectural criterion to retained authoritative sources.</x:v>
      </x:c>
    </x:row>
    <x:row r="6">
      <x:c r="A6" s="20" t="str">
        <x:v>RQ3</x:v>
      </x:c>
      <x:c r="B6" s="20" t="str">
        <x:v>Phased implementation from minimum viable platform to sustainable service</x:v>
      </x:c>
      <x:c r="C6" s="20" t="str">
        <x:v>Five-phase roadmap and operational checklist</x:v>
      </x:c>
      <x:c r="D6" s="20" t="str">
        <x:v>data/implementation_checklist.csv; docs/IMPLEMENTATION_GUIDE.md</x:v>
      </x:c>
      <x:c r="E6" s="20" t="str">
        <x:v>Follow phase gates and verify readiness, platform, integration, external service, and sustainability controls.</x:v>
      </x:c>
    </x:row>
    <x:row r="7">
      <x:c r="A7" s="20" t="str">
        <x:v>RQ4</x:v>
      </x:c>
      <x:c r="B7" s="20" t="str">
        <x:v>Sizing, governance, and evaluation without proprietary outcome claims</x:v>
      </x:c>
      <x:c r="C7" s="20" t="str">
        <x:v>Sizing equations, worked examples, KPIs, and procurement template</x:v>
      </x:c>
      <x:c r="D7" s="20" t="str">
        <x:v>code/hpc_sizing.py; code/reproduce_results.py; data/sizing_assumptions.csv; data/kpi_definitions.csv; data/procurement_template.csv</x:v>
      </x:c>
      <x:c r="E7" s="20" t="str">
        <x:v>Run reproduction script, inspect validation outputs, and review KPI/procurement tables.</x:v>
      </x:c>
    </x:row>
  </x:sheetData>
  <x:mergeCells>
    <x:mergeCell ref="A1:E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22" hidden="0" customWidth="1"/>
    <x:col min="4" max="4" width="26" hidden="0" customWidth="1"/>
    <x:col min="5" max="5" width="46" hidden="0" customWidth="1"/>
    <x:col min="6" max="6" width="20" hidden="0" customWidth="1"/>
    <x:col min="7" max="7" width="72" hidden="0" customWidth="1"/>
  </x:cols>
  <x:sheetData>
    <x:row r="1">
      <x:c r="A1" s="31" t="str">
        <x:v>Namal HPC Context — Not Analytical Validation Data</x:v>
      </x:c>
      <x:c r="B1" s="31"/>
      <x:c r="C1" s="31"/>
      <x:c r="D1" s="31"/>
      <x:c r="E1" s="31"/>
      <x:c r="F1" s="31"/>
      <x:c r="G1" s="31"/>
    </x:row>
    <x:row r="3">
      <x:c r="A3" s="36" t="str">
        <x:v>Parameter</x:v>
      </x:c>
      <x:c r="B3" s="36" t="str">
        <x:v>Current_Value</x:v>
      </x:c>
      <x:c r="C3" s="36" t="str">
        <x:v>Unit_or_Type</x:v>
      </x:c>
      <x:c r="D3" s="36" t="str">
        <x:v>Status</x:v>
      </x:c>
      <x:c r="E3" s="36" t="str">
        <x:v>Provenance</x:v>
      </x:c>
      <x:c r="F3" s="36" t="str">
        <x:v>Role_in_Study</x:v>
      </x:c>
      <x:c r="G3" s="36" t="str">
        <x:v>Notes</x:v>
      </x:c>
    </x:row>
    <x:row r="4">
      <x:c r="A4" s="20" t="str">
        <x:v>Facility</x:v>
      </x:c>
      <x:c r="B4" s="20" t="str">
        <x:v>Namal Supercomputing Facility</x:v>
      </x:c>
      <x:c r="C4" s="20" t="str">
        <x:v>name</x:v>
      </x:c>
      <x:c r="D4" s="20" t="str">
        <x:v>Context only</x:v>
      </x:c>
      <x:c r="E4" s="20" t="str">
        <x:v>CAID Year in Review 2026</x:v>
      </x:c>
      <x:c r="F4" s="20" t="str">
        <x:v>Context only</x:v>
      </x:c>
      <x:c r="G4" s="20" t="str">
        <x:v>Operational institutional HPC environment; not used to derive the illustrative sizing examples.</x:v>
      </x:c>
    </x:row>
    <x:row r="5">
      <x:c r="A5" s="20" t="str">
        <x:v>Compute nodes</x:v>
      </x:c>
      <x:c r="B5" s="20" t="str">
        <x:v>20</x:v>
      </x:c>
      <x:c r="C5" s="20" t="str">
        <x:v>nodes</x:v>
      </x:c>
      <x:c r="D5" s="20" t="str">
        <x:v>Publicly documented</x:v>
      </x:c>
      <x:c r="E5" s="20" t="str">
        <x:v>CAID Year in Review 2026, Supercomputer-as-a-Service page</x:v>
      </x:c>
      <x:c r="F5" s="20" t="str">
        <x:v>Context only</x:v>
      </x:c>
      <x:c r="G5" s="20" t="str">
        <x:v>Retained because it is not superseded by the operator correction supplied for this release.</x:v>
      </x:c>
    </x:row>
    <x:row r="6">
      <x:c r="A6" s="20" t="str">
        <x:v>CPU cores</x:v>
      </x:c>
      <x:c r="B6" s="20" t="str">
        <x:v>1600</x:v>
      </x:c>
      <x:c r="C6" s="20" t="str">
        <x:v>cores</x:v>
      </x:c>
      <x:c r="D6" s="20" t="str">
        <x:v>Publicly documented</x:v>
      </x:c>
      <x:c r="E6" s="20" t="str">
        <x:v>CAID Year in Review 2026, Supercomputer-as-a-Service page</x:v>
      </x:c>
      <x:c r="F6" s="20" t="str">
        <x:v>Context only</x:v>
      </x:c>
      <x:c r="G6" s="20" t="str">
        <x:v>Aggregate full-cluster CPU-core count reported in the annual report.</x:v>
      </x:c>
    </x:row>
    <x:row r="7">
      <x:c r="A7" s="20" t="str">
        <x:v>GPU model</x:v>
      </x:c>
      <x:c r="B7" s="20" t="str">
        <x:v>NVIDIA GeForce RTX 4070 Ti</x:v>
      </x:c>
      <x:c r="C7" s="20" t="str">
        <x:v>accelerator model</x:v>
      </x:c>
      <x:c r="D7" s="20" t="str">
        <x:v>Operator confirmed 2026-09-20</x:v>
      </x:c>
      <x:c r="E7" s="20" t="str">
        <x:v>CAID facility operator confirmation</x:v>
      </x:c>
      <x:c r="F7" s="20" t="str">
        <x:v>Context only</x:v>
      </x:c>
      <x:c r="G7" s="20" t="str">
        <x:v>Supersedes any conflicting/older repository or annual-report summary.</x:v>
      </x:c>
    </x:row>
    <x:row r="8">
      <x:c r="A8" s="20" t="str">
        <x:v>GPU count</x:v>
      </x:c>
      <x:c r="B8" s="20" t="str">
        <x:v>40</x:v>
      </x:c>
      <x:c r="C8" s="20" t="str">
        <x:v>GPUs</x:v>
      </x:c>
      <x:c r="D8" s="20" t="str">
        <x:v>Operator confirmed 2026-09-20</x:v>
      </x:c>
      <x:c r="E8" s="20" t="str">
        <x:v>CAID facility operator confirmation</x:v>
      </x:c>
      <x:c r="F8" s="20" t="str">
        <x:v>Context only</x:v>
      </x:c>
      <x:c r="G8" s="20" t="str">
        <x:v>Current value for this reproducibility release.</x:v>
      </x:c>
    </x:row>
    <x:row r="9">
      <x:c r="A9" s="20" t="str">
        <x:v>System RAM</x:v>
      </x:c>
      <x:c r="B9" s="20" t="str">
        <x:v>5</x:v>
      </x:c>
      <x:c r="C9" s="20" t="str">
        <x:v>TB</x:v>
      </x:c>
      <x:c r="D9" s="20" t="str">
        <x:v>Operator confirmed 2026-09-20</x:v>
      </x:c>
      <x:c r="E9" s="20" t="str">
        <x:v>CAID facility operator confirmation</x:v>
      </x:c>
      <x:c r="F9" s="20" t="str">
        <x:v>Context only</x:v>
      </x:c>
      <x:c r="G9" s="20" t="str">
        <x:v>Current aggregate memory value for this reproducibility release.</x:v>
      </x:c>
    </x:row>
    <x:row r="10">
      <x:c r="A10" s="20" t="str">
        <x:v>Cluster network</x:v>
      </x:c>
      <x:c r="B10" s="20" t="str">
        <x:v>Low-latency switched fabric</x:v>
      </x:c>
      <x:c r="C10" s="20" t="str">
        <x:v>network fabric</x:v>
      </x:c>
      <x:c r="D10" s="20" t="str">
        <x:v>Operator confirmed 2026-09-20</x:v>
      </x:c>
      <x:c r="E10" s="20" t="str">
        <x:v>CAID facility operator confirmation</x:v>
      </x:c>
      <x:c r="F10" s="20" t="str">
        <x:v>Context only</x:v>
      </x:c>
      <x:c r="G10" s="20" t="str">
        <x:v>Exact line rate/topology intentionally not asserted here.</x:v>
      </x:c>
    </x:row>
    <x:row r="11">
      <x:c r="A11" s="20" t="str">
        <x:v>Scheduler</x:v>
      </x:c>
      <x:c r="B11" s="20" t="str">
        <x:v>Slurm</x:v>
      </x:c>
      <x:c r="C11" s="20" t="str">
        <x:v>workload manager</x:v>
      </x:c>
      <x:c r="D11" s="20" t="str">
        <x:v>Publicly documented</x:v>
      </x:c>
      <x:c r="E11" s="20" t="str">
        <x:v>CAID Year in Review 2026 and supplied training material</x:v>
      </x:c>
      <x:c r="F11" s="20" t="str">
        <x:v>Context only</x:v>
      </x:c>
      <x:c r="G11" s="20" t="str">
        <x:v>Used for the publication-safe job examples in examples/slurm.</x:v>
      </x:c>
    </x:row>
    <x:row r="12">
      <x:c r="A12" s="20" t="str">
        <x:v>Representative services</x:v>
      </x:c>
      <x:c r="B12" s="20" t="str">
        <x:v>AI training; simulation; modeling; data processing; Supercomputing-as-a-Service</x:v>
      </x:c>
      <x:c r="C12" s="20" t="str">
        <x:v>service scope</x:v>
      </x:c>
      <x:c r="D12" s="20" t="str">
        <x:v>Publicly documented</x:v>
      </x:c>
      <x:c r="E12" s="20" t="str">
        <x:v>CAID Year in Review 2026</x:v>
      </x:c>
      <x:c r="F12" s="20" t="str">
        <x:v>Context only</x:v>
      </x:c>
      <x:c r="G12" s="20" t="str">
        <x:v>Illustrates framework applicability; not an empirical outcome dataset.</x:v>
      </x:c>
    </x:row>
    <x:row r="14" ht="34" customHeight="1">
      <x:c r="A14" s="39" t="str">
        <x:v>Operator-confirmed GPU/RAM/network values supersede older conflicting summary values. These fields are context only.</x:v>
      </x:c>
      <x:c r="B14" s="39"/>
      <x:c r="C14" s="39"/>
      <x:c r="D14" s="39"/>
      <x:c r="E14" s="39"/>
      <x:c r="F14" s="39"/>
      <x:c r="G14" s="39"/>
    </x:row>
  </x:sheetData>
  <x:mergeCells>
    <x:mergeCell ref="A1:G1"/>
    <x:mergeCell ref="A14:G1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42" hidden="0" customWidth="1"/>
    <x:col min="3" max="3" width="54" hidden="0" customWidth="1"/>
    <x:col min="4" max="4" width="80" hidden="0" customWidth="1"/>
  </x:cols>
  <x:sheetData>
    <x:row r="1">
      <x:c r="A1" s="31" t="str">
        <x:v>Training Material to Public Example Traceability</x:v>
      </x:c>
      <x:c r="B1" s="31"/>
      <x:c r="C1" s="31"/>
      <x:c r="D1" s="31"/>
    </x:row>
    <x:row r="3">
      <x:c r="A3" s="36" t="str">
        <x:v>Training_Source</x:v>
      </x:c>
      <x:c r="B3" s="36" t="str">
        <x:v>Topic</x:v>
      </x:c>
      <x:c r="C3" s="36" t="str">
        <x:v>Public_Package_Use</x:v>
      </x:c>
      <x:c r="D3" s="36" t="str">
        <x:v>Sanitization_or_Engineering_Change</x:v>
      </x:c>
    </x:row>
    <x:row r="4">
      <x:c r="A4" s="20" t="str">
        <x:v>1_Distributed_Computing/School/Final_HPC SLURM System Documentation.pdf</x:v>
      </x:c>
      <x:c r="B4" s="20" t="str">
        <x:v>Slurm navigation, submission, monitoring, OpenMP, MPI, GPU jobs</x:v>
      </x:c>
      <x:c r="C4" s="20" t="str">
        <x:v>docs/IMPLEMENTATION_GUIDE.md; examples/slurm/*</x:v>
      </x:c>
      <x:c r="D4" s="20" t="str">
        <x:v>Converted to compact publication-safe examples; site-specific module names are documented as adaptable.</x:v>
      </x:c>
    </x:row>
    <x:row r="5">
      <x:c r="A5" s="20" t="str">
        <x:v>.../Basic Slurm Usage/1 Running shell commands across nodes/1 codes/shell_comm.slurm</x:v>
      </x:c>
      <x:c r="B5" s="20" t="str">
        <x:v>srun across allocated nodes</x:v>
      </x:c>
      <x:c r="C5" s="20" t="str">
        <x:v>examples/slurm/01_basic_multinode.sbatch</x:v>
      </x:c>
      <x:c r="D5" s="20" t="str">
        <x:v>Retained concept; added strict shell mode, explicit logging, and allocation diagnostics.</x:v>
      </x:c>
    </x:row>
    <x:row r="6">
      <x:c r="A6" s="20" t="str">
        <x:v>.../Requesting CPU, GPU, memory resources/1 Single_node_gpu/1 codes/single_node_gpu_test.slurm</x:v>
      </x:c>
      <x:c r="B6" s="20" t="str">
        <x:v>single-node GPU request and nvidia-smi</x:v>
      </x:c>
      <x:c r="C6" s="20" t="str">
        <x:v>examples/slurm/04_gpu_single_node.sbatch</x:v>
      </x:c>
      <x:c r="D6" s="20" t="str">
        <x:v>Generalized partition/module assumptions; retained GPU diagnostics.</x:v>
      </x:c>
    </x:row>
    <x:row r="7">
      <x:c r="A7" s="20" t="str">
        <x:v>.../Requesting CPU, GPU, memory resources/2 Multi_node_gpu/1 codes/multi_node_gpu_test.slurm</x:v>
      </x:c>
      <x:c r="B7" s="20" t="str">
        <x:v>multi-node GPU request</x:v>
      </x:c>
      <x:c r="C7" s="20" t="str">
        <x:v>examples/slurm/05_gpu_multinode_probe.sbatch</x:v>
      </x:c>
      <x:c r="D7" s="20" t="str">
        <x:v>Fixed incomplete shell quoting and made node/GPU layout publication-safe.</x:v>
      </x:c>
    </x:row>
    <x:row r="8">
      <x:c r="A8" s="20" t="str">
        <x:v>.../Submitting PyTorch training scripts via sbatch/1 codes/pytorch_sbatch.slurm</x:v>
      </x:c>
      <x:c r="B8" s="20" t="str">
        <x:v>single-GPU PyTorch through sbatch</x:v>
      </x:c>
      <x:c r="C8" s="20" t="str">
        <x:v>examples/slurm/06_pytorch_single_gpu.sbatch</x:v>
      </x:c>
      <x:c r="D8" s="20" t="str">
        <x:v>Added reproducible environment reporting and fail-fast behavior.</x:v>
      </x:c>
    </x:row>
    <x:row r="9">
      <x:c r="A9" s="20" t="str">
        <x:v>.../Controlling job distribution/1 codes/job_dist.slurm</x:v>
      </x:c>
      <x:c r="B9" s="20" t="str">
        <x:v>nodes/tasks/time/partition control</x:v>
      </x:c>
      <x:c r="C9" s="20" t="str">
        <x:v>docs/IMPLEMENTATION_GUIDE.md</x:v>
      </x:c>
      <x:c r="D9" s="20" t="str">
        <x:v>Incorporated into scheduler policy and resource-request guidance.</x:v>
      </x:c>
    </x:row>
    <x:row r="10">
      <x:c r="A10" s="20" t="str">
        <x:v>.../Slurm and PyTorch Distributed Launch/1 codes/distributed_launch.slurm</x:v>
      </x:c>
      <x:c r="B10" s="20" t="str">
        <x:v>distributed PyTorch launch</x:v>
      </x:c>
      <x:c r="C10" s="20" t="str">
        <x:v>examples/slurm/07_pytorch_ddp.sbatch</x:v>
      </x:c>
      <x:c r="D10" s="20" t="str">
        <x:v>Reworked to initialize rank/world-size robustly from Slurm.</x:v>
      </x:c>
    </x:row>
    <x:row r="11">
      <x:c r="A11" s="20" t="str">
        <x:v>.../Customizing node communication, port management/1 codes/port_manag.slurm</x:v>
      </x:c>
      <x:c r="B11" s="20" t="str">
        <x:v>master address and port management</x:v>
      </x:c>
      <x:c r="C11" s="20" t="str">
        <x:v>examples/slurm/07_pytorch_ddp.sbatch</x:v>
      </x:c>
      <x:c r="D11" s="20" t="str">
        <x:v>Uses first allocated host and a job-derived port; no fixed IP address.</x:v>
      </x:c>
    </x:row>
    <x:row r="12">
      <x:c r="A12" s="20" t="str">
        <x:v>.../Fault-tolerant and scalable job scripts for AI training/1 codes/fault_tolerant.slurm</x:v>
      </x:c>
      <x:c r="B12" s="20" t="str">
        <x:v>requeue/checkpoint pattern</x:v>
      </x:c>
      <x:c r="C12" s="20" t="str">
        <x:v>examples/slurm/08_pytorch_ddp_requeue.sbatch</x:v>
      </x:c>
      <x:c r="D12" s="20" t="str">
        <x:v>Added signal handling, checkpoint directory, and requeue-safe logic.</x:v>
      </x:c>
    </x:row>
    <x:row r="13">
      <x:c r="A13" s="20" t="str">
        <x:v>2_Distribtued_Computing_Setup/Codes/Setting_NCCL/run_nccl.slurm</x:v>
      </x:c>
      <x:c r="B13" s="20" t="str">
        <x:v>NCCL distributed setup</x:v>
      </x:c>
      <x:c r="C13" s="20" t="str">
        <x:v>examples/slurm/07_pytorch_ddp.sbatch; examples/python/ddp_smoke_test.py</x:v>
      </x:c>
      <x:c r="D13" s="20" t="str">
        <x:v>Removed internal IP addresses, node names, NIC names, and forced IB-disable setting.</x:v>
      </x:c>
    </x:row>
    <x:row r="14">
      <x:c r="A14" s="20" t="str">
        <x:v>2_Distribtued_Computing_Setup/Codes/Setting_GLOO/run_gloo.slurm</x:v>
      </x:c>
      <x:c r="B14" s="20" t="str">
        <x:v>Gloo distributed setup</x:v>
      </x:c>
      <x:c r="C14" s="20" t="str">
        <x:v>examples/python/ddp_smoke_test.py</x:v>
      </x:c>
      <x:c r="D14" s="20" t="str">
        <x:v>Backend is selected safely at runtime; internal NIC mapping is not published.</x:v>
      </x:c>
    </x:row>
    <x:row r="16" ht="34" customHeight="1">
      <x:c r="A16" s="39" t="str">
        <x:v>Internal IPs, hostnames, NIC mappings, and production configuration are intentionally excluded from the public package.</x:v>
      </x:c>
      <x:c r="B16" s="39"/>
      <x:c r="C16" s="39"/>
      <x:c r="D16" s="39"/>
    </x:row>
  </x:sheetData>
  <x:mergeCells>
    <x:mergeCell ref="A1:D1"/>
    <x:mergeCell ref="A16:D16"/>
  </x:mergeCells>
  <x:pageMargins left="0.7" right="0.7" top="0.75" bottom="0.75" header="0.3" footer="0.3"/>
</x:worksheet>
</file>